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nadha\Downloads\"/>
    </mc:Choice>
  </mc:AlternateContent>
  <xr:revisionPtr revIDLastSave="0" documentId="13_ncr:1_{0650CA7C-46EC-4B94-ABEE-1A7CE771DF4C}" xr6:coauthVersionLast="47" xr6:coauthVersionMax="47" xr10:uidLastSave="{00000000-0000-0000-0000-000000000000}"/>
  <bookViews>
    <workbookView xWindow="-108" yWindow="-108" windowWidth="23256" windowHeight="12456" activeTab="2" xr2:uid="{24A9E56F-2A3A-4112-9456-B3FF738C3F0C}"/>
  </bookViews>
  <sheets>
    <sheet name="employee_data" sheetId="1" r:id="rId1"/>
    <sheet name="New data" sheetId="2" r:id="rId2"/>
    <sheet name="Dashboard" sheetId="7" r:id="rId3"/>
    <sheet name="CALCULATIONS" sheetId="31" r:id="rId4"/>
    <sheet name="EDA" sheetId="33" r:id="rId5"/>
    <sheet name="HIGHEST AVG SALARY BY DEPT" sheetId="3" r:id="rId6"/>
    <sheet name="MANAGER VS NON MANAGER BY DEPT" sheetId="8" r:id="rId7"/>
    <sheet name="AVG SALARY - MANAGER VS NON MAN" sheetId="30" r:id="rId8"/>
    <sheet name="YEAR VS HIRE TREND" sheetId="9" r:id="rId9"/>
    <sheet name="SALARY DISTRIBUTION" sheetId="25" r:id="rId10"/>
    <sheet name="AGE GROUP DISTRIBUTION" sheetId="14" r:id="rId11"/>
    <sheet name="EMPLOYEE DSTRBTION BY EXP&amp;DEPT " sheetId="29" r:id="rId12"/>
  </sheets>
  <definedNames>
    <definedName name="_xlcn.WorksheetConnection_employee_data.xlsxTable41" hidden="1">Table4[]</definedName>
    <definedName name="Slicer_Department1">#N/A</definedName>
  </definedNames>
  <calcPr calcId="191029"/>
  <pivotCaches>
    <pivotCache cacheId="0" r:id="rId13"/>
    <pivotCache cacheId="1" r:id="rId14"/>
    <pivotCache cacheId="2" r:id="rId15"/>
    <pivotCache cacheId="3" r:id="rId16"/>
  </pivotCaches>
  <extLs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4" name="Table4" connection="WorksheetConnection_employee_data^.xlsx!Table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31" l="1"/>
  <c r="G10" i="31"/>
  <c r="G9" i="31"/>
  <c r="K7" i="31"/>
  <c r="J7" i="31"/>
  <c r="I7" i="31"/>
  <c r="H7" i="31"/>
  <c r="G7" i="31"/>
  <c r="K6" i="31"/>
  <c r="J6" i="31"/>
  <c r="I6" i="31"/>
  <c r="H6" i="31"/>
  <c r="G6" i="31"/>
  <c r="F4" i="31"/>
  <c r="K3" i="2" a="1"/>
  <c r="K3" i="2" s="1"/>
  <c r="K4" i="2" a="1"/>
  <c r="K4" i="2" s="1"/>
  <c r="K5" i="2" a="1"/>
  <c r="K5" i="2" s="1"/>
  <c r="K6" i="2" a="1"/>
  <c r="K6" i="2" s="1"/>
  <c r="K7" i="2" a="1"/>
  <c r="K7" i="2" s="1"/>
  <c r="K8" i="2" a="1"/>
  <c r="K8" i="2" s="1"/>
  <c r="K9" i="2" a="1"/>
  <c r="K9" i="2" s="1"/>
  <c r="K10" i="2" a="1"/>
  <c r="K10" i="2" s="1"/>
  <c r="K11" i="2" a="1"/>
  <c r="K11" i="2" s="1"/>
  <c r="K12" i="2" a="1"/>
  <c r="K12" i="2" s="1"/>
  <c r="K13" i="2" a="1"/>
  <c r="K13" i="2" s="1"/>
  <c r="K14" i="2" a="1"/>
  <c r="K14" i="2" s="1"/>
  <c r="K15" i="2" a="1"/>
  <c r="K15" i="2" s="1"/>
  <c r="K16" i="2" a="1"/>
  <c r="K16" i="2" s="1"/>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s="1"/>
  <c r="K30" i="2" a="1"/>
  <c r="K30" i="2" s="1"/>
  <c r="K31" i="2" a="1"/>
  <c r="K31" i="2" s="1"/>
  <c r="K32" i="2" a="1"/>
  <c r="K32" i="2" s="1"/>
  <c r="K33" i="2" a="1"/>
  <c r="K33" i="2" s="1"/>
  <c r="K34" i="2" a="1"/>
  <c r="K34" i="2" s="1"/>
  <c r="K35" i="2" a="1"/>
  <c r="K35" i="2" s="1"/>
  <c r="K36" i="2" a="1"/>
  <c r="K36" i="2" s="1"/>
  <c r="K37" i="2" a="1"/>
  <c r="K37" i="2" s="1"/>
  <c r="K38" i="2" a="1"/>
  <c r="K38" i="2" s="1"/>
  <c r="K39" i="2" a="1"/>
  <c r="K39" i="2" s="1"/>
  <c r="K40" i="2" a="1"/>
  <c r="K40" i="2" s="1"/>
  <c r="K41" i="2" a="1"/>
  <c r="K41" i="2" s="1"/>
  <c r="K42" i="2" a="1"/>
  <c r="K42" i="2" s="1"/>
  <c r="K43" i="2" a="1"/>
  <c r="K43" i="2" s="1"/>
  <c r="K44" i="2" a="1"/>
  <c r="K44" i="2" s="1"/>
  <c r="K45" i="2" a="1"/>
  <c r="K45" i="2" s="1"/>
  <c r="K46" i="2" a="1"/>
  <c r="K46" i="2" s="1"/>
  <c r="K47" i="2" a="1"/>
  <c r="K47" i="2" s="1"/>
  <c r="K48" i="2" a="1"/>
  <c r="K48" i="2" s="1"/>
  <c r="K49" i="2" a="1"/>
  <c r="K49" i="2" s="1"/>
  <c r="K50" i="2" a="1"/>
  <c r="K50" i="2" s="1"/>
  <c r="K51" i="2" a="1"/>
  <c r="K51" i="2" s="1"/>
  <c r="K52" i="2" a="1"/>
  <c r="K52" i="2" s="1"/>
  <c r="K53" i="2" a="1"/>
  <c r="K53" i="2" s="1"/>
  <c r="K54" i="2" a="1"/>
  <c r="K54" i="2" s="1"/>
  <c r="K55" i="2" a="1"/>
  <c r="K55" i="2" s="1"/>
  <c r="K56" i="2" a="1"/>
  <c r="K56" i="2" s="1"/>
  <c r="K57" i="2" a="1"/>
  <c r="K57" i="2" s="1"/>
  <c r="K58" i="2" a="1"/>
  <c r="K58" i="2" s="1"/>
  <c r="K59" i="2" a="1"/>
  <c r="K59" i="2" s="1"/>
  <c r="K60" i="2" a="1"/>
  <c r="K60" i="2" s="1"/>
  <c r="K61" i="2" a="1"/>
  <c r="K61" i="2" s="1"/>
  <c r="K62" i="2" a="1"/>
  <c r="K62" i="2" s="1"/>
  <c r="K63" i="2" a="1"/>
  <c r="K63" i="2" s="1"/>
  <c r="K64" i="2" a="1"/>
  <c r="K64" i="2" s="1"/>
  <c r="K65" i="2" a="1"/>
  <c r="K65" i="2" s="1"/>
  <c r="K66" i="2" a="1"/>
  <c r="K66" i="2" s="1"/>
  <c r="K67" i="2" a="1"/>
  <c r="K67" i="2" s="1"/>
  <c r="K68" i="2" a="1"/>
  <c r="K68" i="2" s="1"/>
  <c r="K69" i="2" a="1"/>
  <c r="K69" i="2" s="1"/>
  <c r="K70" i="2" a="1"/>
  <c r="K70" i="2" s="1"/>
  <c r="K71" i="2" a="1"/>
  <c r="K71" i="2" s="1"/>
  <c r="K72" i="2" a="1"/>
  <c r="K72" i="2" s="1"/>
  <c r="K73" i="2" a="1"/>
  <c r="K73" i="2" s="1"/>
  <c r="K74" i="2" a="1"/>
  <c r="K74" i="2" s="1"/>
  <c r="K75" i="2" a="1"/>
  <c r="K75" i="2" s="1"/>
  <c r="K76" i="2" a="1"/>
  <c r="K76" i="2" s="1"/>
  <c r="K77" i="2" a="1"/>
  <c r="K77" i="2" s="1"/>
  <c r="K78" i="2" a="1"/>
  <c r="K78" i="2" s="1"/>
  <c r="K79" i="2" a="1"/>
  <c r="K79" i="2" s="1"/>
  <c r="K80" i="2" a="1"/>
  <c r="K80" i="2" s="1"/>
  <c r="K81" i="2" a="1"/>
  <c r="K81" i="2" s="1"/>
  <c r="K82" i="2" a="1"/>
  <c r="K82" i="2" s="1"/>
  <c r="K83" i="2" a="1"/>
  <c r="K83" i="2" s="1"/>
  <c r="K84" i="2" a="1"/>
  <c r="K84" i="2" s="1"/>
  <c r="K85" i="2" a="1"/>
  <c r="K85" i="2" s="1"/>
  <c r="K86" i="2" a="1"/>
  <c r="K86" i="2" s="1"/>
  <c r="K87" i="2" a="1"/>
  <c r="K87" i="2" s="1"/>
  <c r="K88" i="2" a="1"/>
  <c r="K88" i="2" s="1"/>
  <c r="K89" i="2" a="1"/>
  <c r="K89" i="2" s="1"/>
  <c r="K90" i="2" a="1"/>
  <c r="K90" i="2" s="1"/>
  <c r="K91" i="2" a="1"/>
  <c r="K91" i="2" s="1"/>
  <c r="K92" i="2" a="1"/>
  <c r="K92" i="2" s="1"/>
  <c r="K93" i="2" a="1"/>
  <c r="K93" i="2" s="1"/>
  <c r="K94" i="2" a="1"/>
  <c r="K94" i="2" s="1"/>
  <c r="K95" i="2" a="1"/>
  <c r="K95" i="2" s="1"/>
  <c r="K96" i="2" a="1"/>
  <c r="K96" i="2" s="1"/>
  <c r="K97" i="2" a="1"/>
  <c r="K97" i="2" s="1"/>
  <c r="K98" i="2" a="1"/>
  <c r="K98" i="2" s="1"/>
  <c r="K99" i="2" a="1"/>
  <c r="K99" i="2" s="1"/>
  <c r="K100" i="2" a="1"/>
  <c r="K100" i="2" s="1"/>
  <c r="K101" i="2" a="1"/>
  <c r="K101" i="2" s="1"/>
  <c r="K102" i="2" a="1"/>
  <c r="K102" i="2" s="1"/>
  <c r="K103" i="2" a="1"/>
  <c r="K103" i="2" s="1"/>
  <c r="K104" i="2" a="1"/>
  <c r="K104" i="2" s="1"/>
  <c r="K105" i="2" a="1"/>
  <c r="K105" i="2" s="1"/>
  <c r="K106" i="2" a="1"/>
  <c r="K106" i="2" s="1"/>
  <c r="K107" i="2" a="1"/>
  <c r="K107" i="2" s="1"/>
  <c r="K108" i="2" a="1"/>
  <c r="K108" i="2" s="1"/>
  <c r="K109" i="2" a="1"/>
  <c r="K109" i="2" s="1"/>
  <c r="K110" i="2" a="1"/>
  <c r="K110" i="2" s="1"/>
  <c r="K111" i="2" a="1"/>
  <c r="K111" i="2" s="1"/>
  <c r="K112" i="2" a="1"/>
  <c r="K112" i="2" s="1"/>
  <c r="K113" i="2" a="1"/>
  <c r="K113" i="2" s="1"/>
  <c r="K114" i="2" a="1"/>
  <c r="K114" i="2" s="1"/>
  <c r="K115" i="2" a="1"/>
  <c r="K115" i="2" s="1"/>
  <c r="K116" i="2" a="1"/>
  <c r="K116" i="2" s="1"/>
  <c r="K117" i="2" a="1"/>
  <c r="K117" i="2" s="1"/>
  <c r="K118" i="2" a="1"/>
  <c r="K118" i="2" s="1"/>
  <c r="K119" i="2" a="1"/>
  <c r="K119" i="2" s="1"/>
  <c r="K120" i="2" a="1"/>
  <c r="K120" i="2" s="1"/>
  <c r="K121" i="2" a="1"/>
  <c r="K121" i="2" s="1"/>
  <c r="K122" i="2" a="1"/>
  <c r="K122" i="2" s="1"/>
  <c r="K123" i="2" a="1"/>
  <c r="K123" i="2" s="1"/>
  <c r="K124" i="2" a="1"/>
  <c r="K124" i="2" s="1"/>
  <c r="K125" i="2" a="1"/>
  <c r="K125" i="2" s="1"/>
  <c r="K126" i="2" a="1"/>
  <c r="K126" i="2" s="1"/>
  <c r="K127" i="2" a="1"/>
  <c r="K127" i="2" s="1"/>
  <c r="K128" i="2" a="1"/>
  <c r="K128" i="2" s="1"/>
  <c r="K129" i="2" a="1"/>
  <c r="K129" i="2" s="1"/>
  <c r="K130" i="2" a="1"/>
  <c r="K130" i="2" s="1"/>
  <c r="K131" i="2" a="1"/>
  <c r="K131" i="2" s="1"/>
  <c r="K132" i="2" a="1"/>
  <c r="K132" i="2" s="1"/>
  <c r="K133" i="2" a="1"/>
  <c r="K133" i="2" s="1"/>
  <c r="K134" i="2" a="1"/>
  <c r="K134" i="2" s="1"/>
  <c r="K135" i="2" a="1"/>
  <c r="K135" i="2" s="1"/>
  <c r="K136" i="2" a="1"/>
  <c r="K136" i="2" s="1"/>
  <c r="K137" i="2" a="1"/>
  <c r="K137" i="2" s="1"/>
  <c r="K138" i="2" a="1"/>
  <c r="K138" i="2" s="1"/>
  <c r="K139" i="2" a="1"/>
  <c r="K139" i="2" s="1"/>
  <c r="K140" i="2" a="1"/>
  <c r="K140" i="2" s="1"/>
  <c r="K141" i="2" a="1"/>
  <c r="K141" i="2" s="1"/>
  <c r="K142" i="2" a="1"/>
  <c r="K142" i="2" s="1"/>
  <c r="K143" i="2" a="1"/>
  <c r="K143" i="2" s="1"/>
  <c r="K144" i="2" a="1"/>
  <c r="K144" i="2" s="1"/>
  <c r="K145" i="2" a="1"/>
  <c r="K145" i="2" s="1"/>
  <c r="K146" i="2" a="1"/>
  <c r="K146" i="2" s="1"/>
  <c r="K147" i="2" a="1"/>
  <c r="K147" i="2" s="1"/>
  <c r="K148" i="2" a="1"/>
  <c r="K148" i="2" s="1"/>
  <c r="K149" i="2" a="1"/>
  <c r="K149" i="2" s="1"/>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s="1"/>
  <c r="K161" i="2" a="1"/>
  <c r="K161" i="2" s="1"/>
  <c r="K162" i="2" a="1"/>
  <c r="K162" i="2" s="1"/>
  <c r="K163" i="2" a="1"/>
  <c r="K163" i="2" s="1"/>
  <c r="K164" i="2" a="1"/>
  <c r="K164" i="2" s="1"/>
  <c r="K165" i="2" a="1"/>
  <c r="K165" i="2" s="1"/>
  <c r="K166" i="2" a="1"/>
  <c r="K166" i="2" s="1"/>
  <c r="K167" i="2" a="1"/>
  <c r="K167" i="2" s="1"/>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s="1"/>
  <c r="K179" i="2" a="1"/>
  <c r="K179" i="2" s="1"/>
  <c r="K180" i="2" a="1"/>
  <c r="K180" i="2" s="1"/>
  <c r="K181" i="2" a="1"/>
  <c r="K181" i="2" s="1"/>
  <c r="K182" i="2" a="1"/>
  <c r="K182" i="2" s="1"/>
  <c r="K183" i="2" a="1"/>
  <c r="K183" i="2" s="1"/>
  <c r="K184" i="2" a="1"/>
  <c r="K184" i="2" s="1"/>
  <c r="K185" i="2" a="1"/>
  <c r="K185" i="2" s="1"/>
  <c r="K186" i="2" a="1"/>
  <c r="K186" i="2" s="1"/>
  <c r="K187" i="2" a="1"/>
  <c r="K187" i="2" s="1"/>
  <c r="K188" i="2" a="1"/>
  <c r="K188" i="2" s="1"/>
  <c r="K189" i="2" a="1"/>
  <c r="K189" i="2" s="1"/>
  <c r="K190" i="2" a="1"/>
  <c r="K190" i="2" s="1"/>
  <c r="K191" i="2" a="1"/>
  <c r="K191" i="2" s="1"/>
  <c r="K192" i="2" a="1"/>
  <c r="K192" i="2" s="1"/>
  <c r="K193" i="2" a="1"/>
  <c r="K193" i="2" s="1"/>
  <c r="K194" i="2" a="1"/>
  <c r="K194" i="2" s="1"/>
  <c r="K195" i="2" a="1"/>
  <c r="K195" i="2" s="1"/>
  <c r="K196" i="2" a="1"/>
  <c r="K196" i="2" s="1"/>
  <c r="K197" i="2" a="1"/>
  <c r="K197" i="2" s="1"/>
  <c r="K198" i="2" a="1"/>
  <c r="K198" i="2" s="1"/>
  <c r="K199" i="2" a="1"/>
  <c r="K199" i="2" s="1"/>
  <c r="K200" i="2" a="1"/>
  <c r="K200" i="2" s="1"/>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s="1"/>
  <c r="K215" i="2" a="1"/>
  <c r="K215" i="2" s="1"/>
  <c r="K216" i="2" a="1"/>
  <c r="K216" i="2" s="1"/>
  <c r="K217" i="2" a="1"/>
  <c r="K217" i="2" s="1"/>
  <c r="K218" i="2" a="1"/>
  <c r="K218" i="2" s="1"/>
  <c r="K219" i="2" a="1"/>
  <c r="K219" i="2" s="1"/>
  <c r="K220" i="2" a="1"/>
  <c r="K220" i="2" s="1"/>
  <c r="K221" i="2" a="1"/>
  <c r="K221" i="2" s="1"/>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s="1"/>
  <c r="K491" i="2" a="1"/>
  <c r="K491" i="2" s="1"/>
  <c r="K492" i="2" a="1"/>
  <c r="K492" i="2" s="1"/>
  <c r="K493" i="2" a="1"/>
  <c r="K493" i="2" s="1"/>
  <c r="K494" i="2" a="1"/>
  <c r="K494" i="2" s="1"/>
  <c r="K495" i="2" a="1"/>
  <c r="K495" i="2" s="1"/>
  <c r="K496" i="2" a="1"/>
  <c r="K496" i="2" s="1"/>
  <c r="K497" i="2" a="1"/>
  <c r="K497" i="2" s="1"/>
  <c r="K498" i="2" a="1"/>
  <c r="K498" i="2" s="1"/>
  <c r="K499" i="2" a="1"/>
  <c r="K499" i="2" s="1"/>
  <c r="K500" i="2" a="1"/>
  <c r="K500" i="2" s="1"/>
  <c r="K501" i="2" a="1"/>
  <c r="K501" i="2" s="1"/>
  <c r="K2" i="2" a="1"/>
  <c r="K2" i="2" s="1"/>
  <c r="I3" i="2" a="1"/>
  <c r="I3" i="2"/>
  <c r="I4" i="2" a="1"/>
  <c r="I4" i="2"/>
  <c r="I5" i="2" a="1"/>
  <c r="I5" i="2"/>
  <c r="I6" i="2" a="1"/>
  <c r="I6" i="2" s="1"/>
  <c r="I7" i="2" a="1"/>
  <c r="I7" i="2" s="1"/>
  <c r="I8" i="2" a="1"/>
  <c r="I8" i="2"/>
  <c r="I9" i="2" a="1"/>
  <c r="I9" i="2" s="1"/>
  <c r="I10" i="2" a="1"/>
  <c r="I10" i="2"/>
  <c r="I11" i="2" a="1"/>
  <c r="I11" i="2"/>
  <c r="I12" i="2" a="1"/>
  <c r="I12" i="2" s="1"/>
  <c r="I13" i="2" a="1"/>
  <c r="I13" i="2" s="1"/>
  <c r="I14" i="2" a="1"/>
  <c r="I14" i="2"/>
  <c r="I15" i="2" a="1"/>
  <c r="I15" i="2"/>
  <c r="I16" i="2" a="1"/>
  <c r="I16" i="2" s="1"/>
  <c r="I17" i="2" a="1"/>
  <c r="I17" i="2"/>
  <c r="I18" i="2" a="1"/>
  <c r="I18" i="2" s="1"/>
  <c r="I19" i="2" a="1"/>
  <c r="I19" i="2" s="1"/>
  <c r="I20" i="2" a="1"/>
  <c r="I20" i="2"/>
  <c r="I21" i="2" a="1"/>
  <c r="I21" i="2" s="1"/>
  <c r="I22" i="2" a="1"/>
  <c r="I22" i="2"/>
  <c r="I23" i="2" a="1"/>
  <c r="I23" i="2"/>
  <c r="I24" i="2" a="1"/>
  <c r="I24" i="2" s="1"/>
  <c r="I25" i="2" a="1"/>
  <c r="I25" i="2" s="1"/>
  <c r="I26" i="2" a="1"/>
  <c r="I26" i="2"/>
  <c r="I27" i="2" a="1"/>
  <c r="I27" i="2"/>
  <c r="I28" i="2" a="1"/>
  <c r="I28" i="2" s="1"/>
  <c r="I29" i="2" a="1"/>
  <c r="I29" i="2"/>
  <c r="I30" i="2" a="1"/>
  <c r="I30" i="2" s="1"/>
  <c r="I31" i="2" a="1"/>
  <c r="I31" i="2" s="1"/>
  <c r="I32" i="2" a="1"/>
  <c r="I32" i="2"/>
  <c r="I33" i="2" a="1"/>
  <c r="I33" i="2"/>
  <c r="I34" i="2" a="1"/>
  <c r="I34" i="2"/>
  <c r="I35" i="2" a="1"/>
  <c r="I35" i="2"/>
  <c r="I36" i="2" a="1"/>
  <c r="I36" i="2" s="1"/>
  <c r="I37" i="2" a="1"/>
  <c r="I37" i="2" s="1"/>
  <c r="I38" i="2" a="1"/>
  <c r="I38" i="2"/>
  <c r="I39" i="2" a="1"/>
  <c r="I39" i="2"/>
  <c r="I40" i="2" a="1"/>
  <c r="I40" i="2"/>
  <c r="I41" i="2" a="1"/>
  <c r="I41" i="2"/>
  <c r="I42" i="2" a="1"/>
  <c r="I42" i="2" s="1"/>
  <c r="I43" i="2" a="1"/>
  <c r="I43" i="2" s="1"/>
  <c r="I44" i="2" a="1"/>
  <c r="I44" i="2"/>
  <c r="I45" i="2" a="1"/>
  <c r="I45" i="2" s="1"/>
  <c r="I46" i="2" a="1"/>
  <c r="I46" i="2"/>
  <c r="I47" i="2" a="1"/>
  <c r="I47" i="2"/>
  <c r="I48" i="2" a="1"/>
  <c r="I48" i="2" s="1"/>
  <c r="I49" i="2" a="1"/>
  <c r="I49" i="2" s="1"/>
  <c r="I50" i="2" a="1"/>
  <c r="I50" i="2"/>
  <c r="I51" i="2" a="1"/>
  <c r="I51" i="2"/>
  <c r="I52" i="2" a="1"/>
  <c r="I52" i="2" s="1"/>
  <c r="I53" i="2" a="1"/>
  <c r="I53" i="2"/>
  <c r="I54" i="2" a="1"/>
  <c r="I54" i="2" s="1"/>
  <c r="I55" i="2" a="1"/>
  <c r="I55" i="2" s="1"/>
  <c r="I56" i="2" a="1"/>
  <c r="I56" i="2"/>
  <c r="I57" i="2" a="1"/>
  <c r="I57" i="2" s="1"/>
  <c r="I58" i="2" a="1"/>
  <c r="I58" i="2"/>
  <c r="I59" i="2" a="1"/>
  <c r="I59" i="2"/>
  <c r="I60" i="2" a="1"/>
  <c r="I60" i="2" s="1"/>
  <c r="I61" i="2" a="1"/>
  <c r="I61" i="2" s="1"/>
  <c r="I62" i="2" a="1"/>
  <c r="I62" i="2"/>
  <c r="I63" i="2" a="1"/>
  <c r="I63" i="2"/>
  <c r="I64" i="2" a="1"/>
  <c r="I64" i="2" s="1"/>
  <c r="I65" i="2" a="1"/>
  <c r="I65" i="2"/>
  <c r="I66" i="2" a="1"/>
  <c r="I66" i="2" s="1"/>
  <c r="I67" i="2" a="1"/>
  <c r="I67" i="2" s="1"/>
  <c r="I68" i="2" a="1"/>
  <c r="I68" i="2"/>
  <c r="I69" i="2" a="1"/>
  <c r="I69" i="2"/>
  <c r="I70" i="2" a="1"/>
  <c r="I70" i="2"/>
  <c r="I71" i="2" a="1"/>
  <c r="I71" i="2"/>
  <c r="I72" i="2" a="1"/>
  <c r="I72" i="2" s="1"/>
  <c r="I73" i="2" a="1"/>
  <c r="I73" i="2" s="1"/>
  <c r="I74" i="2" a="1"/>
  <c r="I74" i="2"/>
  <c r="I75" i="2" a="1"/>
  <c r="I75" i="2"/>
  <c r="I76" i="2" a="1"/>
  <c r="I76" i="2"/>
  <c r="I77" i="2" a="1"/>
  <c r="I77" i="2"/>
  <c r="I78" i="2" a="1"/>
  <c r="I78" i="2" s="1"/>
  <c r="I79" i="2" a="1"/>
  <c r="I79" i="2" s="1"/>
  <c r="I80" i="2" a="1"/>
  <c r="I80" i="2"/>
  <c r="I81" i="2" a="1"/>
  <c r="I81" i="2" s="1"/>
  <c r="I82" i="2" a="1"/>
  <c r="I82" i="2"/>
  <c r="I83" i="2" a="1"/>
  <c r="I83" i="2"/>
  <c r="I84" i="2" a="1"/>
  <c r="I84" i="2" s="1"/>
  <c r="I85" i="2" a="1"/>
  <c r="I85" i="2" s="1"/>
  <c r="I86" i="2" a="1"/>
  <c r="I86" i="2"/>
  <c r="I87" i="2" a="1"/>
  <c r="I87" i="2"/>
  <c r="I88" i="2" a="1"/>
  <c r="I88" i="2" s="1"/>
  <c r="I89" i="2" a="1"/>
  <c r="I89" i="2"/>
  <c r="I90" i="2" a="1"/>
  <c r="I90" i="2" s="1"/>
  <c r="I91" i="2" a="1"/>
  <c r="I91" i="2" s="1"/>
  <c r="I92" i="2" a="1"/>
  <c r="I92" i="2"/>
  <c r="I93" i="2" a="1"/>
  <c r="I93" i="2" s="1"/>
  <c r="I94" i="2" a="1"/>
  <c r="I94" i="2"/>
  <c r="I95" i="2" a="1"/>
  <c r="I95" i="2"/>
  <c r="I96" i="2" a="1"/>
  <c r="I96" i="2" s="1"/>
  <c r="I97" i="2" a="1"/>
  <c r="I97" i="2" s="1"/>
  <c r="I98" i="2" a="1"/>
  <c r="I98" i="2"/>
  <c r="I99" i="2" a="1"/>
  <c r="I99" i="2"/>
  <c r="I100" i="2" a="1"/>
  <c r="I100" i="2" s="1"/>
  <c r="I101" i="2" a="1"/>
  <c r="I101" i="2"/>
  <c r="I102" i="2" a="1"/>
  <c r="I102" i="2" s="1"/>
  <c r="I103" i="2" a="1"/>
  <c r="I103" i="2" s="1"/>
  <c r="I104" i="2" a="1"/>
  <c r="I104" i="2"/>
  <c r="I105" i="2" a="1"/>
  <c r="I105" i="2"/>
  <c r="I106" i="2" a="1"/>
  <c r="I106" i="2"/>
  <c r="I107" i="2" a="1"/>
  <c r="I107" i="2"/>
  <c r="I108" i="2" a="1"/>
  <c r="I108" i="2" s="1"/>
  <c r="I109" i="2" a="1"/>
  <c r="I109" i="2" s="1"/>
  <c r="I110" i="2" a="1"/>
  <c r="I110" i="2"/>
  <c r="I111" i="2" a="1"/>
  <c r="I111" i="2"/>
  <c r="I112" i="2" a="1"/>
  <c r="I112" i="2"/>
  <c r="I113" i="2" a="1"/>
  <c r="I113" i="2"/>
  <c r="I114" i="2" a="1"/>
  <c r="I114" i="2" s="1"/>
  <c r="I115" i="2" a="1"/>
  <c r="I115" i="2" s="1"/>
  <c r="I116" i="2" a="1"/>
  <c r="I116" i="2"/>
  <c r="I117" i="2" a="1"/>
  <c r="I117" i="2" s="1"/>
  <c r="I118" i="2" a="1"/>
  <c r="I118" i="2"/>
  <c r="I119" i="2" a="1"/>
  <c r="I119" i="2"/>
  <c r="I120" i="2" a="1"/>
  <c r="I120" i="2" s="1"/>
  <c r="I121" i="2" a="1"/>
  <c r="I121" i="2" s="1"/>
  <c r="I122" i="2" a="1"/>
  <c r="I122" i="2"/>
  <c r="I123" i="2" a="1"/>
  <c r="I123" i="2"/>
  <c r="I124" i="2" a="1"/>
  <c r="I124" i="2" s="1"/>
  <c r="I125" i="2" a="1"/>
  <c r="I125" i="2"/>
  <c r="I126" i="2" a="1"/>
  <c r="I126" i="2" s="1"/>
  <c r="I127" i="2" a="1"/>
  <c r="I127" i="2" s="1"/>
  <c r="I128" i="2" a="1"/>
  <c r="I128" i="2"/>
  <c r="I129" i="2" a="1"/>
  <c r="I129" i="2" s="1"/>
  <c r="I130" i="2" a="1"/>
  <c r="I130" i="2"/>
  <c r="I131" i="2" a="1"/>
  <c r="I131" i="2"/>
  <c r="I132" i="2" a="1"/>
  <c r="I132" i="2" s="1"/>
  <c r="I133" i="2" a="1"/>
  <c r="I133" i="2" s="1"/>
  <c r="I134" i="2" a="1"/>
  <c r="I134" i="2"/>
  <c r="I135" i="2" a="1"/>
  <c r="I135" i="2"/>
  <c r="I136" i="2" a="1"/>
  <c r="I136" i="2" s="1"/>
  <c r="I137" i="2" a="1"/>
  <c r="I137" i="2"/>
  <c r="I138" i="2" a="1"/>
  <c r="I138" i="2" s="1"/>
  <c r="I139" i="2" a="1"/>
  <c r="I139" i="2" s="1"/>
  <c r="I140" i="2" a="1"/>
  <c r="I140" i="2"/>
  <c r="I141" i="2" a="1"/>
  <c r="I141" i="2"/>
  <c r="I142" i="2" a="1"/>
  <c r="I142" i="2"/>
  <c r="I143" i="2" a="1"/>
  <c r="I143" i="2"/>
  <c r="I144" i="2" a="1"/>
  <c r="I144" i="2" s="1"/>
  <c r="I145" i="2" a="1"/>
  <c r="I145" i="2" s="1"/>
  <c r="I146" i="2" a="1"/>
  <c r="I146" i="2"/>
  <c r="I147" i="2" a="1"/>
  <c r="I147" i="2"/>
  <c r="I148" i="2" a="1"/>
  <c r="I148" i="2"/>
  <c r="I149" i="2" a="1"/>
  <c r="I149" i="2"/>
  <c r="I150" i="2" a="1"/>
  <c r="I150" i="2" s="1"/>
  <c r="I151" i="2" a="1"/>
  <c r="I151" i="2" s="1"/>
  <c r="I152" i="2" a="1"/>
  <c r="I152" i="2"/>
  <c r="I153" i="2" a="1"/>
  <c r="I153" i="2" s="1"/>
  <c r="I154" i="2" a="1"/>
  <c r="I154" i="2"/>
  <c r="I155" i="2" a="1"/>
  <c r="I155" i="2"/>
  <c r="I156" i="2" a="1"/>
  <c r="I156" i="2" s="1"/>
  <c r="I157" i="2" a="1"/>
  <c r="I157" i="2" s="1"/>
  <c r="I158" i="2" a="1"/>
  <c r="I158" i="2"/>
  <c r="I159" i="2" a="1"/>
  <c r="I159" i="2"/>
  <c r="I160" i="2" a="1"/>
  <c r="I160" i="2" s="1"/>
  <c r="I161" i="2" a="1"/>
  <c r="I161" i="2"/>
  <c r="I162" i="2" a="1"/>
  <c r="I162" i="2" s="1"/>
  <c r="I163" i="2" a="1"/>
  <c r="I163" i="2" s="1"/>
  <c r="I164" i="2" a="1"/>
  <c r="I164" i="2"/>
  <c r="I165" i="2" a="1"/>
  <c r="I165" i="2" s="1"/>
  <c r="I166" i="2" a="1"/>
  <c r="I166" i="2"/>
  <c r="I167" i="2" a="1"/>
  <c r="I167" i="2"/>
  <c r="I168" i="2" a="1"/>
  <c r="I168" i="2" s="1"/>
  <c r="I169" i="2" a="1"/>
  <c r="I169" i="2" s="1"/>
  <c r="I170" i="2" a="1"/>
  <c r="I170" i="2"/>
  <c r="I171" i="2" a="1"/>
  <c r="I171" i="2"/>
  <c r="I172" i="2" a="1"/>
  <c r="I172" i="2" s="1"/>
  <c r="I173" i="2" a="1"/>
  <c r="I173" i="2"/>
  <c r="I174" i="2" a="1"/>
  <c r="I174" i="2" s="1"/>
  <c r="I175" i="2" a="1"/>
  <c r="I175" i="2" s="1"/>
  <c r="I176" i="2" a="1"/>
  <c r="I176" i="2"/>
  <c r="I177" i="2" a="1"/>
  <c r="I177" i="2"/>
  <c r="I178" i="2" a="1"/>
  <c r="I178" i="2"/>
  <c r="I179" i="2" a="1"/>
  <c r="I179" i="2"/>
  <c r="I180" i="2" a="1"/>
  <c r="I180" i="2" s="1"/>
  <c r="I181" i="2" a="1"/>
  <c r="I181" i="2" s="1"/>
  <c r="I182" i="2" a="1"/>
  <c r="I182" i="2"/>
  <c r="I183" i="2" a="1"/>
  <c r="I183" i="2"/>
  <c r="I184" i="2" a="1"/>
  <c r="I184" i="2"/>
  <c r="I185" i="2" a="1"/>
  <c r="I185" i="2"/>
  <c r="I186" i="2" a="1"/>
  <c r="I186" i="2" s="1"/>
  <c r="I187" i="2" a="1"/>
  <c r="I187" i="2" s="1"/>
  <c r="I188" i="2" a="1"/>
  <c r="I188" i="2"/>
  <c r="I189" i="2" a="1"/>
  <c r="I189" i="2" s="1"/>
  <c r="I190" i="2" a="1"/>
  <c r="I190" i="2"/>
  <c r="I191" i="2" a="1"/>
  <c r="I191" i="2"/>
  <c r="I192" i="2" a="1"/>
  <c r="I192" i="2" s="1"/>
  <c r="I193" i="2" a="1"/>
  <c r="I193" i="2" s="1"/>
  <c r="I194" i="2" a="1"/>
  <c r="I194" i="2"/>
  <c r="I195" i="2" a="1"/>
  <c r="I195" i="2"/>
  <c r="I196" i="2" a="1"/>
  <c r="I196" i="2" s="1"/>
  <c r="I197" i="2" a="1"/>
  <c r="I197" i="2"/>
  <c r="I198" i="2" a="1"/>
  <c r="I198" i="2" s="1"/>
  <c r="I199" i="2" a="1"/>
  <c r="I199" i="2" s="1"/>
  <c r="I200" i="2" a="1"/>
  <c r="I200" i="2"/>
  <c r="I201" i="2" a="1"/>
  <c r="I201" i="2" s="1"/>
  <c r="I202" i="2" a="1"/>
  <c r="I202" i="2"/>
  <c r="I203" i="2" a="1"/>
  <c r="I203" i="2"/>
  <c r="I204" i="2" a="1"/>
  <c r="I204" i="2" s="1"/>
  <c r="I205" i="2" a="1"/>
  <c r="I205" i="2" s="1"/>
  <c r="I206" i="2" a="1"/>
  <c r="I206" i="2"/>
  <c r="I207" i="2" a="1"/>
  <c r="I207" i="2"/>
  <c r="I208" i="2" a="1"/>
  <c r="I208" i="2" s="1"/>
  <c r="I209" i="2" a="1"/>
  <c r="I209" i="2"/>
  <c r="I210" i="2" a="1"/>
  <c r="I210" i="2" s="1"/>
  <c r="I211" i="2" a="1"/>
  <c r="I211" i="2" s="1"/>
  <c r="I212" i="2" a="1"/>
  <c r="I212" i="2"/>
  <c r="I213" i="2" a="1"/>
  <c r="I213" i="2"/>
  <c r="I214" i="2" a="1"/>
  <c r="I214" i="2"/>
  <c r="I215" i="2" a="1"/>
  <c r="I215" i="2"/>
  <c r="I216" i="2" a="1"/>
  <c r="I216" i="2" s="1"/>
  <c r="I217" i="2" a="1"/>
  <c r="I217" i="2" s="1"/>
  <c r="I218" i="2" a="1"/>
  <c r="I218" i="2"/>
  <c r="I219" i="2" a="1"/>
  <c r="I219" i="2"/>
  <c r="I220" i="2" a="1"/>
  <c r="I220" i="2"/>
  <c r="I221" i="2" a="1"/>
  <c r="I221" i="2"/>
  <c r="I222" i="2" a="1"/>
  <c r="I222" i="2" s="1"/>
  <c r="I223" i="2" a="1"/>
  <c r="I223" i="2" s="1"/>
  <c r="I224" i="2" a="1"/>
  <c r="I224" i="2"/>
  <c r="I225" i="2" a="1"/>
  <c r="I225" i="2" s="1"/>
  <c r="I226" i="2" a="1"/>
  <c r="I226" i="2"/>
  <c r="I227" i="2" a="1"/>
  <c r="I227" i="2"/>
  <c r="I228" i="2" a="1"/>
  <c r="I228" i="2" s="1"/>
  <c r="I229" i="2" a="1"/>
  <c r="I229" i="2" s="1"/>
  <c r="I230" i="2" a="1"/>
  <c r="I230" i="2"/>
  <c r="I231" i="2" a="1"/>
  <c r="I231" i="2"/>
  <c r="I232" i="2" a="1"/>
  <c r="I232" i="2" s="1"/>
  <c r="I233" i="2" a="1"/>
  <c r="I233" i="2"/>
  <c r="I234" i="2" a="1"/>
  <c r="I234" i="2" s="1"/>
  <c r="I235" i="2" a="1"/>
  <c r="I235" i="2" s="1"/>
  <c r="I236" i="2" a="1"/>
  <c r="I236" i="2"/>
  <c r="I237" i="2" a="1"/>
  <c r="I237" i="2" s="1"/>
  <c r="I238" i="2" a="1"/>
  <c r="I238" i="2"/>
  <c r="I239" i="2" a="1"/>
  <c r="I239" i="2"/>
  <c r="I240" i="2" a="1"/>
  <c r="I240" i="2" s="1"/>
  <c r="I241" i="2" a="1"/>
  <c r="I241" i="2" s="1"/>
  <c r="I242" i="2" a="1"/>
  <c r="I242" i="2"/>
  <c r="I243" i="2" a="1"/>
  <c r="I243" i="2"/>
  <c r="I244" i="2" a="1"/>
  <c r="I244" i="2" s="1"/>
  <c r="I245" i="2" a="1"/>
  <c r="I245" i="2"/>
  <c r="I246" i="2" a="1"/>
  <c r="I246" i="2" s="1"/>
  <c r="I247" i="2" a="1"/>
  <c r="I247" i="2" s="1"/>
  <c r="I248" i="2" a="1"/>
  <c r="I248" i="2"/>
  <c r="I249" i="2" a="1"/>
  <c r="I249" i="2"/>
  <c r="I250" i="2" a="1"/>
  <c r="I250" i="2"/>
  <c r="I251" i="2" a="1"/>
  <c r="I251" i="2"/>
  <c r="I252" i="2" a="1"/>
  <c r="I252" i="2" s="1"/>
  <c r="I253" i="2" a="1"/>
  <c r="I253" i="2" s="1"/>
  <c r="I254" i="2" a="1"/>
  <c r="I254" i="2"/>
  <c r="I255" i="2" a="1"/>
  <c r="I255" i="2"/>
  <c r="I256" i="2" a="1"/>
  <c r="I256" i="2"/>
  <c r="I257" i="2" a="1"/>
  <c r="I257" i="2"/>
  <c r="I258" i="2" a="1"/>
  <c r="I258" i="2" s="1"/>
  <c r="I259" i="2" a="1"/>
  <c r="I259" i="2" s="1"/>
  <c r="I260" i="2" a="1"/>
  <c r="I260" i="2"/>
  <c r="I261" i="2" a="1"/>
  <c r="I261" i="2" s="1"/>
  <c r="I262" i="2" a="1"/>
  <c r="I262" i="2"/>
  <c r="I263" i="2" a="1"/>
  <c r="I263" i="2"/>
  <c r="I264" i="2" a="1"/>
  <c r="I264" i="2" s="1"/>
  <c r="I265" i="2" a="1"/>
  <c r="I265" i="2" s="1"/>
  <c r="I266" i="2" a="1"/>
  <c r="I266" i="2"/>
  <c r="I267" i="2" a="1"/>
  <c r="I267" i="2"/>
  <c r="I268" i="2" a="1"/>
  <c r="I268" i="2" s="1"/>
  <c r="I269" i="2" a="1"/>
  <c r="I269" i="2"/>
  <c r="I270" i="2" a="1"/>
  <c r="I270" i="2" s="1"/>
  <c r="I271" i="2" a="1"/>
  <c r="I271" i="2" s="1"/>
  <c r="I272" i="2" a="1"/>
  <c r="I272" i="2"/>
  <c r="I273" i="2" a="1"/>
  <c r="I273" i="2" s="1"/>
  <c r="I274" i="2" a="1"/>
  <c r="I274" i="2"/>
  <c r="I275" i="2" a="1"/>
  <c r="I275" i="2"/>
  <c r="I276" i="2" a="1"/>
  <c r="I276" i="2" s="1"/>
  <c r="I277" i="2" a="1"/>
  <c r="I277" i="2" s="1"/>
  <c r="I278" i="2" a="1"/>
  <c r="I278" i="2"/>
  <c r="I279" i="2" a="1"/>
  <c r="I279" i="2"/>
  <c r="I280" i="2" a="1"/>
  <c r="I280" i="2" s="1"/>
  <c r="I281" i="2" a="1"/>
  <c r="I281" i="2"/>
  <c r="I282" i="2" a="1"/>
  <c r="I282" i="2" s="1"/>
  <c r="I283" i="2" a="1"/>
  <c r="I283" i="2" s="1"/>
  <c r="I284" i="2" a="1"/>
  <c r="I284" i="2"/>
  <c r="I285" i="2" a="1"/>
  <c r="I285" i="2"/>
  <c r="I286" i="2" a="1"/>
  <c r="I286" i="2"/>
  <c r="I287" i="2" a="1"/>
  <c r="I287" i="2"/>
  <c r="I288" i="2" a="1"/>
  <c r="I288" i="2" s="1"/>
  <c r="I289" i="2" a="1"/>
  <c r="I289" i="2" s="1"/>
  <c r="I290" i="2" a="1"/>
  <c r="I290" i="2"/>
  <c r="I291" i="2" a="1"/>
  <c r="I291" i="2"/>
  <c r="I292" i="2" a="1"/>
  <c r="I292" i="2"/>
  <c r="I293" i="2" a="1"/>
  <c r="I293" i="2"/>
  <c r="I294" i="2" a="1"/>
  <c r="I294" i="2" s="1"/>
  <c r="I295" i="2" a="1"/>
  <c r="I295" i="2" s="1"/>
  <c r="I296" i="2" a="1"/>
  <c r="I296" i="2"/>
  <c r="I297" i="2" a="1"/>
  <c r="I297" i="2" s="1"/>
  <c r="I298" i="2" a="1"/>
  <c r="I298" i="2"/>
  <c r="I299" i="2" a="1"/>
  <c r="I299" i="2"/>
  <c r="I300" i="2" a="1"/>
  <c r="I300" i="2" s="1"/>
  <c r="I301" i="2" a="1"/>
  <c r="I301" i="2" s="1"/>
  <c r="I302" i="2" a="1"/>
  <c r="I302" i="2"/>
  <c r="I303" i="2" a="1"/>
  <c r="I303" i="2"/>
  <c r="I304" i="2" a="1"/>
  <c r="I304" i="2" s="1"/>
  <c r="I305" i="2" a="1"/>
  <c r="I305" i="2"/>
  <c r="I306" i="2" a="1"/>
  <c r="I306" i="2" s="1"/>
  <c r="I307" i="2" a="1"/>
  <c r="I307" i="2" s="1"/>
  <c r="I308" i="2" a="1"/>
  <c r="I308" i="2"/>
  <c r="I309" i="2" a="1"/>
  <c r="I309" i="2" s="1"/>
  <c r="I310" i="2" a="1"/>
  <c r="I310" i="2"/>
  <c r="I311" i="2" a="1"/>
  <c r="I311" i="2"/>
  <c r="I312" i="2" a="1"/>
  <c r="I312" i="2" s="1"/>
  <c r="I313" i="2" a="1"/>
  <c r="I313" i="2" s="1"/>
  <c r="I314" i="2" a="1"/>
  <c r="I314" i="2"/>
  <c r="I315" i="2" a="1"/>
  <c r="I315" i="2"/>
  <c r="I316" i="2" a="1"/>
  <c r="I316" i="2" s="1"/>
  <c r="I317" i="2" a="1"/>
  <c r="I317" i="2"/>
  <c r="I318" i="2" a="1"/>
  <c r="I318" i="2" s="1"/>
  <c r="I319" i="2" a="1"/>
  <c r="I319" i="2" s="1"/>
  <c r="I320" i="2" a="1"/>
  <c r="I320" i="2"/>
  <c r="I321" i="2" a="1"/>
  <c r="I321" i="2"/>
  <c r="I322" i="2" a="1"/>
  <c r="I322" i="2"/>
  <c r="I323" i="2" a="1"/>
  <c r="I323" i="2"/>
  <c r="I324" i="2" a="1"/>
  <c r="I324" i="2" s="1"/>
  <c r="I325" i="2" a="1"/>
  <c r="I325" i="2" s="1"/>
  <c r="I326" i="2" a="1"/>
  <c r="I326" i="2"/>
  <c r="I327" i="2" a="1"/>
  <c r="I327" i="2"/>
  <c r="I328" i="2" a="1"/>
  <c r="I328" i="2"/>
  <c r="I329" i="2" a="1"/>
  <c r="I329" i="2"/>
  <c r="I330" i="2" a="1"/>
  <c r="I330" i="2" s="1"/>
  <c r="I331" i="2" a="1"/>
  <c r="I331" i="2" s="1"/>
  <c r="I332" i="2" a="1"/>
  <c r="I332" i="2"/>
  <c r="I333" i="2" a="1"/>
  <c r="I333" i="2" s="1"/>
  <c r="I334" i="2" a="1"/>
  <c r="I334" i="2"/>
  <c r="I335" i="2" a="1"/>
  <c r="I335" i="2"/>
  <c r="I336" i="2" a="1"/>
  <c r="I336" i="2" s="1"/>
  <c r="I337" i="2" a="1"/>
  <c r="I337" i="2" s="1"/>
  <c r="I338" i="2" a="1"/>
  <c r="I338" i="2"/>
  <c r="I339" i="2" a="1"/>
  <c r="I339" i="2"/>
  <c r="I340" i="2" a="1"/>
  <c r="I340" i="2" s="1"/>
  <c r="I341" i="2" a="1"/>
  <c r="I341" i="2"/>
  <c r="I342" i="2" a="1"/>
  <c r="I342" i="2" s="1"/>
  <c r="I343" i="2" a="1"/>
  <c r="I343" i="2" s="1"/>
  <c r="I344" i="2" a="1"/>
  <c r="I344" i="2"/>
  <c r="I345" i="2" a="1"/>
  <c r="I345" i="2"/>
  <c r="I346" i="2" a="1"/>
  <c r="I346" i="2"/>
  <c r="I347" i="2" a="1"/>
  <c r="I347" i="2"/>
  <c r="I348" i="2" a="1"/>
  <c r="I348" i="2" s="1"/>
  <c r="I349" i="2" a="1"/>
  <c r="I349" i="2"/>
  <c r="I350" i="2" a="1"/>
  <c r="I350" i="2"/>
  <c r="I351" i="2" a="1"/>
  <c r="I351" i="2" s="1"/>
  <c r="I352" i="2" a="1"/>
  <c r="I352" i="2"/>
  <c r="I353" i="2" a="1"/>
  <c r="I353" i="2"/>
  <c r="I354" i="2" a="1"/>
  <c r="I354" i="2" s="1"/>
  <c r="I355" i="2" a="1"/>
  <c r="I355" i="2"/>
  <c r="I356" i="2" a="1"/>
  <c r="I356" i="2"/>
  <c r="I357" i="2" a="1"/>
  <c r="I357" i="2"/>
  <c r="I358" i="2" a="1"/>
  <c r="I358" i="2"/>
  <c r="I359" i="2" a="1"/>
  <c r="I359" i="2"/>
  <c r="I360" i="2" a="1"/>
  <c r="I360" i="2" s="1"/>
  <c r="I361" i="2" a="1"/>
  <c r="I361" i="2"/>
  <c r="I362" i="2" a="1"/>
  <c r="I362" i="2"/>
  <c r="I363" i="2" a="1"/>
  <c r="I363" i="2"/>
  <c r="I364" i="2" a="1"/>
  <c r="I364" i="2" s="1"/>
  <c r="I365" i="2" a="1"/>
  <c r="I365" i="2"/>
  <c r="I366" i="2" a="1"/>
  <c r="I366" i="2" s="1"/>
  <c r="I367" i="2" a="1"/>
  <c r="I367" i="2"/>
  <c r="I368" i="2" a="1"/>
  <c r="I368" i="2"/>
  <c r="I369" i="2" a="1"/>
  <c r="I369" i="2" s="1"/>
  <c r="I370" i="2" a="1"/>
  <c r="I370" i="2"/>
  <c r="I371" i="2" a="1"/>
  <c r="I371" i="2"/>
  <c r="I372" i="2" a="1"/>
  <c r="I372" i="2" s="1"/>
  <c r="I373" i="2" a="1"/>
  <c r="I373" i="2" s="1"/>
  <c r="I374" i="2" a="1"/>
  <c r="I374" i="2"/>
  <c r="I375" i="2" a="1"/>
  <c r="I375" i="2"/>
  <c r="I376" i="2" a="1"/>
  <c r="I376" i="2"/>
  <c r="I377" i="2" a="1"/>
  <c r="I377" i="2"/>
  <c r="I378" i="2" a="1"/>
  <c r="I378" i="2" s="1"/>
  <c r="I379" i="2" a="1"/>
  <c r="I379" i="2"/>
  <c r="I380" i="2" a="1"/>
  <c r="I380" i="2"/>
  <c r="I381" i="2" a="1"/>
  <c r="I381" i="2"/>
  <c r="I382" i="2" a="1"/>
  <c r="I382" i="2" s="1"/>
  <c r="I383" i="2" a="1"/>
  <c r="I383" i="2"/>
  <c r="I384" i="2" a="1"/>
  <c r="I384" i="2" s="1"/>
  <c r="I385" i="2" a="1"/>
  <c r="I385" i="2"/>
  <c r="I386" i="2" a="1"/>
  <c r="I386" i="2"/>
  <c r="I387" i="2" a="1"/>
  <c r="I387" i="2"/>
  <c r="I388" i="2" a="1"/>
  <c r="I388" i="2"/>
  <c r="I389" i="2" a="1"/>
  <c r="I389" i="2"/>
  <c r="I390" i="2" a="1"/>
  <c r="I390" i="2" s="1"/>
  <c r="I391" i="2" a="1"/>
  <c r="I391" i="2"/>
  <c r="I392" i="2" a="1"/>
  <c r="I392" i="2"/>
  <c r="I393" i="2" a="1"/>
  <c r="I393" i="2"/>
  <c r="I394" i="2" a="1"/>
  <c r="I394" i="2"/>
  <c r="I395" i="2" a="1"/>
  <c r="I395" i="2"/>
  <c r="I396" i="2" a="1"/>
  <c r="I396" i="2" s="1"/>
  <c r="I397" i="2" a="1"/>
  <c r="I397" i="2" s="1"/>
  <c r="I398" i="2" a="1"/>
  <c r="I398" i="2"/>
  <c r="I399" i="2" a="1"/>
  <c r="I399" i="2" s="1"/>
  <c r="I400" i="2" a="1"/>
  <c r="I400" i="2"/>
  <c r="I401" i="2" a="1"/>
  <c r="I401" i="2"/>
  <c r="I402" i="2" a="1"/>
  <c r="I402" i="2" s="1"/>
  <c r="I403" i="2" a="1"/>
  <c r="I403" i="2"/>
  <c r="I404" i="2" a="1"/>
  <c r="I404" i="2"/>
  <c r="I405" i="2" a="1"/>
  <c r="I405" i="2"/>
  <c r="I406" i="2" a="1"/>
  <c r="I406" i="2"/>
  <c r="I407" i="2" a="1"/>
  <c r="I407" i="2"/>
  <c r="I408" i="2" a="1"/>
  <c r="I408" i="2" s="1"/>
  <c r="I409" i="2" a="1"/>
  <c r="I409" i="2"/>
  <c r="I410" i="2" a="1"/>
  <c r="I410" i="2"/>
  <c r="I411" i="2" a="1"/>
  <c r="I411" i="2"/>
  <c r="I412" i="2" a="1"/>
  <c r="I412" i="2" s="1"/>
  <c r="I413" i="2" a="1"/>
  <c r="I413" i="2"/>
  <c r="I414" i="2" a="1"/>
  <c r="I414" i="2" s="1"/>
  <c r="I415" i="2" a="1"/>
  <c r="I415" i="2" s="1"/>
  <c r="I416" i="2" a="1"/>
  <c r="I416" i="2"/>
  <c r="I417" i="2" a="1"/>
  <c r="I417" i="2"/>
  <c r="I418" i="2" a="1"/>
  <c r="I418" i="2"/>
  <c r="I419" i="2" a="1"/>
  <c r="I419" i="2"/>
  <c r="I420" i="2" a="1"/>
  <c r="I420" i="2" s="1"/>
  <c r="I421" i="2" a="1"/>
  <c r="I421" i="2"/>
  <c r="I422" i="2" a="1"/>
  <c r="I422" i="2"/>
  <c r="I423" i="2" a="1"/>
  <c r="I423" i="2" s="1"/>
  <c r="I424" i="2" a="1"/>
  <c r="I424" i="2"/>
  <c r="I425" i="2" a="1"/>
  <c r="I425" i="2"/>
  <c r="I426" i="2" a="1"/>
  <c r="I426" i="2" s="1"/>
  <c r="I427" i="2" a="1"/>
  <c r="I427" i="2"/>
  <c r="I428" i="2" a="1"/>
  <c r="I428" i="2"/>
  <c r="I429" i="2" a="1"/>
  <c r="I429" i="2"/>
  <c r="I430" i="2" a="1"/>
  <c r="I430" i="2"/>
  <c r="I431" i="2" a="1"/>
  <c r="I431" i="2"/>
  <c r="I432" i="2" a="1"/>
  <c r="I432" i="2" s="1"/>
  <c r="I433" i="2" a="1"/>
  <c r="I433" i="2"/>
  <c r="I434" i="2" a="1"/>
  <c r="I434" i="2"/>
  <c r="I435" i="2" a="1"/>
  <c r="I435" i="2"/>
  <c r="I436" i="2" a="1"/>
  <c r="I436" i="2" s="1"/>
  <c r="I437" i="2" a="1"/>
  <c r="I437" i="2"/>
  <c r="I438" i="2" a="1"/>
  <c r="I438" i="2" s="1"/>
  <c r="I439" i="2" a="1"/>
  <c r="I439" i="2"/>
  <c r="I440" i="2" a="1"/>
  <c r="I440" i="2"/>
  <c r="I441" i="2" a="1"/>
  <c r="I441" i="2" s="1"/>
  <c r="I442" i="2" a="1"/>
  <c r="I442" i="2"/>
  <c r="I443" i="2" a="1"/>
  <c r="I443" i="2"/>
  <c r="I444" i="2" a="1"/>
  <c r="I444" i="2" s="1"/>
  <c r="I445" i="2" a="1"/>
  <c r="I445" i="2" s="1"/>
  <c r="I446" i="2" a="1"/>
  <c r="I446" i="2"/>
  <c r="I447" i="2" a="1"/>
  <c r="I447" i="2"/>
  <c r="I448" i="2" a="1"/>
  <c r="I448" i="2"/>
  <c r="I449" i="2" a="1"/>
  <c r="I449" i="2"/>
  <c r="I450" i="2" a="1"/>
  <c r="I450" i="2" s="1"/>
  <c r="I451" i="2" a="1"/>
  <c r="I451" i="2"/>
  <c r="I452" i="2" a="1"/>
  <c r="I452" i="2"/>
  <c r="I453" i="2" a="1"/>
  <c r="I453" i="2"/>
  <c r="I454" i="2" a="1"/>
  <c r="I454" i="2" s="1"/>
  <c r="I455" i="2" a="1"/>
  <c r="I455" i="2"/>
  <c r="I456" i="2" a="1"/>
  <c r="I456" i="2" s="1"/>
  <c r="I457" i="2" a="1"/>
  <c r="I457" i="2"/>
  <c r="I458" i="2" a="1"/>
  <c r="I458" i="2"/>
  <c r="I459" i="2" a="1"/>
  <c r="I459" i="2"/>
  <c r="I460" i="2" a="1"/>
  <c r="I460" i="2"/>
  <c r="I461" i="2" a="1"/>
  <c r="I461" i="2"/>
  <c r="I462" i="2" a="1"/>
  <c r="I462" i="2" s="1"/>
  <c r="I463" i="2" a="1"/>
  <c r="I463" i="2"/>
  <c r="I464" i="2" a="1"/>
  <c r="I464" i="2"/>
  <c r="I465" i="2" a="1"/>
  <c r="I465" i="2"/>
  <c r="I466" i="2" a="1"/>
  <c r="I466" i="2"/>
  <c r="I467" i="2" a="1"/>
  <c r="I467" i="2"/>
  <c r="I468" i="2" a="1"/>
  <c r="I468" i="2" s="1"/>
  <c r="I469" i="2" a="1"/>
  <c r="I469" i="2" s="1"/>
  <c r="I470" i="2" a="1"/>
  <c r="I470" i="2"/>
  <c r="I471" i="2" a="1"/>
  <c r="I471" i="2" s="1"/>
  <c r="I472" i="2" a="1"/>
  <c r="I472" i="2"/>
  <c r="I473" i="2" a="1"/>
  <c r="I473" i="2"/>
  <c r="I474" i="2" a="1"/>
  <c r="I474" i="2" s="1"/>
  <c r="I475" i="2" a="1"/>
  <c r="I475" i="2"/>
  <c r="I476" i="2" a="1"/>
  <c r="I476" i="2"/>
  <c r="I477" i="2" a="1"/>
  <c r="I477" i="2"/>
  <c r="I478" i="2" a="1"/>
  <c r="I478" i="2"/>
  <c r="I479" i="2" a="1"/>
  <c r="I479" i="2"/>
  <c r="I480" i="2" a="1"/>
  <c r="I480" i="2" s="1"/>
  <c r="I481" i="2" a="1"/>
  <c r="I481" i="2"/>
  <c r="I482" i="2" a="1"/>
  <c r="I482" i="2"/>
  <c r="I483" i="2" a="1"/>
  <c r="I483" i="2"/>
  <c r="I484" i="2" a="1"/>
  <c r="I484" i="2" s="1"/>
  <c r="I485" i="2" a="1"/>
  <c r="I485" i="2"/>
  <c r="I486" i="2" a="1"/>
  <c r="I486" i="2" s="1"/>
  <c r="I487" i="2" a="1"/>
  <c r="I487" i="2" s="1"/>
  <c r="I488" i="2" a="1"/>
  <c r="I488" i="2"/>
  <c r="I489" i="2" a="1"/>
  <c r="I489" i="2"/>
  <c r="I490" i="2" a="1"/>
  <c r="I490" i="2"/>
  <c r="I491" i="2" a="1"/>
  <c r="I491" i="2"/>
  <c r="I492" i="2" a="1"/>
  <c r="I492" i="2" s="1"/>
  <c r="I493" i="2" a="1"/>
  <c r="I493" i="2"/>
  <c r="I494" i="2" a="1"/>
  <c r="I494" i="2"/>
  <c r="I495" i="2" a="1"/>
  <c r="I495" i="2" s="1"/>
  <c r="I496" i="2" a="1"/>
  <c r="I496" i="2"/>
  <c r="I497" i="2" a="1"/>
  <c r="I497" i="2"/>
  <c r="I498" i="2" a="1"/>
  <c r="I498" i="2" s="1"/>
  <c r="I499" i="2" a="1"/>
  <c r="I499" i="2"/>
  <c r="I500" i="2" a="1"/>
  <c r="I500" i="2"/>
  <c r="I501" i="2" a="1"/>
  <c r="I501" i="2"/>
  <c r="I2" i="2" a="1"/>
  <c r="I2" i="2" s="1"/>
  <c r="D3" i="2" a="1"/>
  <c r="D3" i="2" s="1"/>
  <c r="D4" i="2" a="1"/>
  <c r="D4" i="2" s="1"/>
  <c r="D5" i="2" a="1"/>
  <c r="D5" i="2" s="1"/>
  <c r="D6" i="2" a="1"/>
  <c r="D6" i="2" s="1"/>
  <c r="D7" i="2" a="1"/>
  <c r="D7" i="2"/>
  <c r="D8" i="2" a="1"/>
  <c r="D8" i="2" s="1"/>
  <c r="D9" i="2" a="1"/>
  <c r="D9" i="2" s="1"/>
  <c r="D10" i="2" a="1"/>
  <c r="D10" i="2" s="1"/>
  <c r="D11" i="2" a="1"/>
  <c r="D11" i="2" s="1"/>
  <c r="D12" i="2" a="1"/>
  <c r="D12" i="2" s="1"/>
  <c r="D13" i="2" a="1"/>
  <c r="D13" i="2"/>
  <c r="D14" i="2" a="1"/>
  <c r="D14" i="2" s="1"/>
  <c r="D15" i="2" a="1"/>
  <c r="D15" i="2" s="1"/>
  <c r="D16" i="2" a="1"/>
  <c r="D16" i="2" s="1"/>
  <c r="D17" i="2" a="1"/>
  <c r="D17" i="2" s="1"/>
  <c r="D18" i="2" a="1"/>
  <c r="D18" i="2" s="1"/>
  <c r="D19" i="2" a="1"/>
  <c r="D19" i="2" s="1"/>
  <c r="D20" i="2" a="1"/>
  <c r="D20" i="2"/>
  <c r="D21" i="2" a="1"/>
  <c r="D21" i="2" s="1"/>
  <c r="D22" i="2" a="1"/>
  <c r="D22" i="2"/>
  <c r="D23" i="2" a="1"/>
  <c r="D23" i="2" s="1"/>
  <c r="D24" i="2" a="1"/>
  <c r="D24" i="2" s="1"/>
  <c r="D25" i="2" a="1"/>
  <c r="D25" i="2" s="1"/>
  <c r="D26" i="2" a="1"/>
  <c r="D26" i="2" s="1"/>
  <c r="D27" i="2" a="1"/>
  <c r="D27" i="2" s="1"/>
  <c r="D28" i="2" a="1"/>
  <c r="D28" i="2" s="1"/>
  <c r="D29" i="2" a="1"/>
  <c r="D29" i="2" s="1"/>
  <c r="D30" i="2" a="1"/>
  <c r="D30" i="2"/>
  <c r="D31" i="2" a="1"/>
  <c r="D31" i="2" s="1"/>
  <c r="D32" i="2" a="1"/>
  <c r="D32" i="2" s="1"/>
  <c r="D33" i="2" a="1"/>
  <c r="D33" i="2" s="1"/>
  <c r="D34" i="2" a="1"/>
  <c r="D34" i="2" s="1"/>
  <c r="D35" i="2" a="1"/>
  <c r="D35" i="2" s="1"/>
  <c r="D36" i="2" a="1"/>
  <c r="D36" i="2"/>
  <c r="D37" i="2" a="1"/>
  <c r="D37" i="2"/>
  <c r="D38" i="2" a="1"/>
  <c r="D38" i="2" s="1"/>
  <c r="D39" i="2" a="1"/>
  <c r="D39" i="2" s="1"/>
  <c r="D40" i="2" a="1"/>
  <c r="D40" i="2" s="1"/>
  <c r="D41" i="2" a="1"/>
  <c r="D41" i="2"/>
  <c r="D42" i="2" a="1"/>
  <c r="D42" i="2" s="1"/>
  <c r="D43" i="2" a="1"/>
  <c r="D43" i="2" s="1"/>
  <c r="D44" i="2" a="1"/>
  <c r="D44" i="2" s="1"/>
  <c r="D45" i="2" a="1"/>
  <c r="D45" i="2" s="1"/>
  <c r="D46" i="2" a="1"/>
  <c r="D46" i="2" s="1"/>
  <c r="D47" i="2" a="1"/>
  <c r="D47" i="2"/>
  <c r="D48" i="2" a="1"/>
  <c r="D48" i="2" s="1"/>
  <c r="D49" i="2" a="1"/>
  <c r="D49" i="2"/>
  <c r="D50" i="2" a="1"/>
  <c r="D50" i="2" s="1"/>
  <c r="D51" i="2" a="1"/>
  <c r="D51" i="2" s="1"/>
  <c r="D52" i="2" a="1"/>
  <c r="D52" i="2" s="1"/>
  <c r="D53" i="2" a="1"/>
  <c r="D53" i="2" s="1"/>
  <c r="D54" i="2" a="1"/>
  <c r="D54" i="2" s="1"/>
  <c r="D55" i="2" a="1"/>
  <c r="D55" i="2" s="1"/>
  <c r="D56" i="2" a="1"/>
  <c r="D56" i="2" s="1"/>
  <c r="D57" i="2" a="1"/>
  <c r="D57" i="2" s="1"/>
  <c r="D58" i="2" a="1"/>
  <c r="D58" i="2" s="1"/>
  <c r="D59" i="2" a="1"/>
  <c r="D59" i="2"/>
  <c r="D60" i="2" a="1"/>
  <c r="D60" i="2" s="1"/>
  <c r="D61" i="2" a="1"/>
  <c r="D61" i="2"/>
  <c r="D62" i="2" a="1"/>
  <c r="D62" i="2" s="1"/>
  <c r="D63" i="2" a="1"/>
  <c r="D63" i="2" s="1"/>
  <c r="D64" i="2" a="1"/>
  <c r="D64" i="2" s="1"/>
  <c r="D65" i="2" a="1"/>
  <c r="D65" i="2" s="1"/>
  <c r="D66" i="2" a="1"/>
  <c r="D66" i="2"/>
  <c r="D67" i="2" a="1"/>
  <c r="D67" i="2" s="1"/>
  <c r="D68" i="2" a="1"/>
  <c r="D68" i="2" s="1"/>
  <c r="D69" i="2" a="1"/>
  <c r="D69" i="2" s="1"/>
  <c r="D70" i="2" a="1"/>
  <c r="D70" i="2"/>
  <c r="D71" i="2" a="1"/>
  <c r="D71" i="2" s="1"/>
  <c r="D72" i="2" a="1"/>
  <c r="D72" i="2" s="1"/>
  <c r="D73" i="2" a="1"/>
  <c r="D73" i="2" s="1"/>
  <c r="D74" i="2" a="1"/>
  <c r="D74" i="2" s="1"/>
  <c r="D75" i="2" a="1"/>
  <c r="D75" i="2" s="1"/>
  <c r="D76" i="2" a="1"/>
  <c r="D76" i="2"/>
  <c r="D77" i="2" a="1"/>
  <c r="D77" i="2" s="1"/>
  <c r="D78" i="2" a="1"/>
  <c r="D78" i="2"/>
  <c r="D79" i="2" a="1"/>
  <c r="D79" i="2" s="1"/>
  <c r="D80" i="2" a="1"/>
  <c r="D80" i="2" s="1"/>
  <c r="D81" i="2" a="1"/>
  <c r="D81" i="2" s="1"/>
  <c r="D82" i="2" a="1"/>
  <c r="D82" i="2"/>
  <c r="D83" i="2" a="1"/>
  <c r="D83" i="2"/>
  <c r="D84" i="2" a="1"/>
  <c r="D84" i="2" s="1"/>
  <c r="D85" i="2" a="1"/>
  <c r="D85" i="2" s="1"/>
  <c r="D86" i="2" a="1"/>
  <c r="D86" i="2" s="1"/>
  <c r="D87" i="2" a="1"/>
  <c r="D87" i="2" s="1"/>
  <c r="D88" i="2" a="1"/>
  <c r="D88" i="2" s="1"/>
  <c r="D89" i="2" a="1"/>
  <c r="D89" i="2" s="1"/>
  <c r="D90" i="2" a="1"/>
  <c r="D90" i="2" s="1"/>
  <c r="D91" i="2" a="1"/>
  <c r="D91" i="2"/>
  <c r="D92" i="2" a="1"/>
  <c r="D92" i="2" s="1"/>
  <c r="D93" i="2" a="1"/>
  <c r="D93" i="2" s="1"/>
  <c r="D94" i="2" a="1"/>
  <c r="D94" i="2" s="1"/>
  <c r="D95" i="2" a="1"/>
  <c r="D95" i="2" s="1"/>
  <c r="D96" i="2" a="1"/>
  <c r="D96" i="2"/>
  <c r="D97" i="2" a="1"/>
  <c r="D97" i="2"/>
  <c r="D98" i="2" a="1"/>
  <c r="D98" i="2" s="1"/>
  <c r="D99" i="2" a="1"/>
  <c r="D99" i="2" s="1"/>
  <c r="D100" i="2" a="1"/>
  <c r="D100" i="2" s="1"/>
  <c r="D101" i="2" a="1"/>
  <c r="D101" i="2" s="1"/>
  <c r="D102" i="2" a="1"/>
  <c r="D102" i="2" s="1"/>
  <c r="D103" i="2" a="1"/>
  <c r="D103" i="2" s="1"/>
  <c r="D104" i="2" a="1"/>
  <c r="D104" i="2"/>
  <c r="D105" i="2" a="1"/>
  <c r="D105" i="2" s="1"/>
  <c r="D106" i="2" a="1"/>
  <c r="D106" i="2"/>
  <c r="D107" i="2" a="1"/>
  <c r="D107" i="2" s="1"/>
  <c r="D108" i="2" a="1"/>
  <c r="D108" i="2" s="1"/>
  <c r="D109" i="2" a="1"/>
  <c r="D109" i="2" s="1"/>
  <c r="D110" i="2" a="1"/>
  <c r="D110" i="2" s="1"/>
  <c r="D111" i="2" a="1"/>
  <c r="D111" i="2" s="1"/>
  <c r="D112" i="2" a="1"/>
  <c r="D112" i="2"/>
  <c r="D113" i="2" a="1"/>
  <c r="D113" i="2" s="1"/>
  <c r="D114" i="2" a="1"/>
  <c r="D114" i="2" s="1"/>
  <c r="D115" i="2" a="1"/>
  <c r="D115" i="2"/>
  <c r="D116" i="2" a="1"/>
  <c r="D116" i="2" s="1"/>
  <c r="D117" i="2" a="1"/>
  <c r="D117" i="2" s="1"/>
  <c r="D118" i="2" a="1"/>
  <c r="D118" i="2"/>
  <c r="D119" i="2" a="1"/>
  <c r="D119" i="2"/>
  <c r="D120" i="2" a="1"/>
  <c r="D120" i="2"/>
  <c r="D121" i="2" a="1"/>
  <c r="D121" i="2"/>
  <c r="D122" i="2" a="1"/>
  <c r="D122" i="2"/>
  <c r="D123" i="2" a="1"/>
  <c r="D123" i="2" s="1"/>
  <c r="D124" i="2" a="1"/>
  <c r="D124" i="2" s="1"/>
  <c r="D125" i="2" a="1"/>
  <c r="D125" i="2"/>
  <c r="D126" i="2" a="1"/>
  <c r="D126" i="2"/>
  <c r="D127" i="2" a="1"/>
  <c r="D127" i="2" s="1"/>
  <c r="D128" i="2" a="1"/>
  <c r="D128" i="2" s="1"/>
  <c r="D129" i="2" a="1"/>
  <c r="D129" i="2" s="1"/>
  <c r="D130" i="2" a="1"/>
  <c r="D130" i="2"/>
  <c r="D131" i="2" a="1"/>
  <c r="D131" i="2" s="1"/>
  <c r="D132" i="2" a="1"/>
  <c r="D132" i="2" s="1"/>
  <c r="D133" i="2" a="1"/>
  <c r="D133" i="2" s="1"/>
  <c r="D134" i="2" a="1"/>
  <c r="D134" i="2" s="1"/>
  <c r="D135" i="2" a="1"/>
  <c r="D135" i="2" s="1"/>
  <c r="D136" i="2" a="1"/>
  <c r="D136" i="2" s="1"/>
  <c r="D137" i="2" a="1"/>
  <c r="D137" i="2"/>
  <c r="D138" i="2" a="1"/>
  <c r="D138" i="2" s="1"/>
  <c r="D139" i="2" a="1"/>
  <c r="D139" i="2"/>
  <c r="D140" i="2" a="1"/>
  <c r="D140" i="2" s="1"/>
  <c r="D141" i="2" a="1"/>
  <c r="D141" i="2" s="1"/>
  <c r="D142" i="2" a="1"/>
  <c r="D142" i="2" s="1"/>
  <c r="D143" i="2" a="1"/>
  <c r="D143" i="2" s="1"/>
  <c r="D144" i="2" a="1"/>
  <c r="D144" i="2" s="1"/>
  <c r="D145" i="2" a="1"/>
  <c r="D145" i="2" s="1"/>
  <c r="D146" i="2" a="1"/>
  <c r="D146" i="2" s="1"/>
  <c r="D147" i="2" a="1"/>
  <c r="D147" i="2" s="1"/>
  <c r="D148" i="2" a="1"/>
  <c r="D148" i="2" s="1"/>
  <c r="D149" i="2" a="1"/>
  <c r="D149" i="2" s="1"/>
  <c r="D150" i="2" a="1"/>
  <c r="D150" i="2" s="1"/>
  <c r="D151" i="2" a="1"/>
  <c r="D151" i="2" s="1"/>
  <c r="D152" i="2" a="1"/>
  <c r="D152" i="2" s="1"/>
  <c r="D153" i="2" a="1"/>
  <c r="D153" i="2" s="1"/>
  <c r="D154" i="2" a="1"/>
  <c r="D154" i="2" s="1"/>
  <c r="D155" i="2" a="1"/>
  <c r="D155" i="2"/>
  <c r="D156" i="2" a="1"/>
  <c r="D156" i="2" s="1"/>
  <c r="D157" i="2" a="1"/>
  <c r="D157" i="2"/>
  <c r="D158" i="2" a="1"/>
  <c r="D158" i="2" s="1"/>
  <c r="D159" i="2" a="1"/>
  <c r="D159" i="2" s="1"/>
  <c r="D160" i="2" a="1"/>
  <c r="D160" i="2" s="1"/>
  <c r="D161" i="2" a="1"/>
  <c r="D161" i="2"/>
  <c r="D162" i="2" a="1"/>
  <c r="D162" i="2" s="1"/>
  <c r="D163" i="2" a="1"/>
  <c r="D163" i="2"/>
  <c r="D164" i="2" a="1"/>
  <c r="D164" i="2" s="1"/>
  <c r="D165" i="2" a="1"/>
  <c r="D165" i="2" s="1"/>
  <c r="D166" i="2" a="1"/>
  <c r="D166" i="2" s="1"/>
  <c r="D167" i="2" a="1"/>
  <c r="D167" i="2"/>
  <c r="D168" i="2" a="1"/>
  <c r="D168" i="2" s="1"/>
  <c r="D169" i="2" a="1"/>
  <c r="D169" i="2" s="1"/>
  <c r="D170" i="2" a="1"/>
  <c r="D170" i="2" s="1"/>
  <c r="D171" i="2" a="1"/>
  <c r="D171" i="2" s="1"/>
  <c r="D172" i="2" a="1"/>
  <c r="D172" i="2"/>
  <c r="D173" i="2" a="1"/>
  <c r="D173" i="2" s="1"/>
  <c r="D174" i="2" a="1"/>
  <c r="D174" i="2"/>
  <c r="D175" i="2" a="1"/>
  <c r="D175" i="2" s="1"/>
  <c r="D176" i="2" a="1"/>
  <c r="D176" i="2"/>
  <c r="D177" i="2" a="1"/>
  <c r="D177" i="2" s="1"/>
  <c r="D178" i="2" a="1"/>
  <c r="D178" i="2" s="1"/>
  <c r="D179" i="2" a="1"/>
  <c r="D179" i="2" s="1"/>
  <c r="D180" i="2" a="1"/>
  <c r="D180" i="2" s="1"/>
  <c r="D181" i="2" a="1"/>
  <c r="D181" i="2"/>
  <c r="D182" i="2" a="1"/>
  <c r="D182" i="2"/>
  <c r="D183" i="2" a="1"/>
  <c r="D183" i="2" s="1"/>
  <c r="D184" i="2" a="1"/>
  <c r="D184" i="2" s="1"/>
  <c r="D185" i="2" a="1"/>
  <c r="D185" i="2"/>
  <c r="D186" i="2" a="1"/>
  <c r="D186" i="2" s="1"/>
  <c r="D187" i="2" a="1"/>
  <c r="D187" i="2" s="1"/>
  <c r="D188" i="2" a="1"/>
  <c r="D188" i="2" s="1"/>
  <c r="D189" i="2" a="1"/>
  <c r="D189" i="2" s="1"/>
  <c r="D190" i="2" a="1"/>
  <c r="D190" i="2"/>
  <c r="D191" i="2" a="1"/>
  <c r="D191" i="2"/>
  <c r="D192" i="2" a="1"/>
  <c r="D192" i="2" s="1"/>
  <c r="D193" i="2" a="1"/>
  <c r="D193" i="2"/>
  <c r="D194" i="2" a="1"/>
  <c r="D194" i="2" s="1"/>
  <c r="D195" i="2" a="1"/>
  <c r="D195" i="2" s="1"/>
  <c r="D196" i="2" a="1"/>
  <c r="D196" i="2"/>
  <c r="D197" i="2" a="1"/>
  <c r="D197" i="2" s="1"/>
  <c r="D198" i="2" a="1"/>
  <c r="D198" i="2" s="1"/>
  <c r="D199" i="2" a="1"/>
  <c r="D199" i="2" s="1"/>
  <c r="D200" i="2" a="1"/>
  <c r="D200" i="2" s="1"/>
  <c r="D201" i="2" a="1"/>
  <c r="D201" i="2" s="1"/>
  <c r="D202" i="2" a="1"/>
  <c r="D202" i="2" s="1"/>
  <c r="D203" i="2" a="1"/>
  <c r="D203" i="2" s="1"/>
  <c r="D204" i="2" a="1"/>
  <c r="D204" i="2" s="1"/>
  <c r="D205" i="2" a="1"/>
  <c r="D205" i="2"/>
  <c r="D206" i="2" a="1"/>
  <c r="D206" i="2" s="1"/>
  <c r="D207" i="2" a="1"/>
  <c r="D207" i="2" s="1"/>
  <c r="D208" i="2" a="1"/>
  <c r="D208" i="2" s="1"/>
  <c r="D209" i="2" a="1"/>
  <c r="D209" i="2" s="1"/>
  <c r="D210" i="2" a="1"/>
  <c r="D210" i="2" s="1"/>
  <c r="D211" i="2" a="1"/>
  <c r="D211" i="2" s="1"/>
  <c r="D212" i="2" a="1"/>
  <c r="D212" i="2" s="1"/>
  <c r="D213" i="2" a="1"/>
  <c r="D213" i="2" s="1"/>
  <c r="D214" i="2" a="1"/>
  <c r="D214" i="2" s="1"/>
  <c r="D215" i="2" a="1"/>
  <c r="D215" i="2" s="1"/>
  <c r="D216" i="2" a="1"/>
  <c r="D216" i="2" s="1"/>
  <c r="D217" i="2" a="1"/>
  <c r="D217" i="2" s="1"/>
  <c r="D218" i="2" a="1"/>
  <c r="D218" i="2"/>
  <c r="D219" i="2" a="1"/>
  <c r="D219" i="2" s="1"/>
  <c r="D220" i="2" a="1"/>
  <c r="D220" i="2"/>
  <c r="D221" i="2" a="1"/>
  <c r="D221" i="2" s="1"/>
  <c r="D222" i="2" a="1"/>
  <c r="D222" i="2" s="1"/>
  <c r="D223" i="2" a="1"/>
  <c r="D223" i="2" s="1"/>
  <c r="D224" i="2" a="1"/>
  <c r="D224" i="2"/>
  <c r="D225" i="2" a="1"/>
  <c r="D225" i="2" s="1"/>
  <c r="D226" i="2" a="1"/>
  <c r="D226" i="2"/>
  <c r="D227" i="2" a="1"/>
  <c r="D227" i="2" s="1"/>
  <c r="D228" i="2" a="1"/>
  <c r="D228" i="2"/>
  <c r="D229" i="2" a="1"/>
  <c r="D229" i="2" s="1"/>
  <c r="D230" i="2" a="1"/>
  <c r="D230" i="2" s="1"/>
  <c r="D231" i="2" a="1"/>
  <c r="D231" i="2" s="1"/>
  <c r="D232" i="2" a="1"/>
  <c r="D232" i="2" s="1"/>
  <c r="D233" i="2" a="1"/>
  <c r="D233" i="2" s="1"/>
  <c r="D234" i="2" a="1"/>
  <c r="D234" i="2" s="1"/>
  <c r="D235" i="2" a="1"/>
  <c r="D235" i="2"/>
  <c r="D236" i="2" a="1"/>
  <c r="D236" i="2" s="1"/>
  <c r="D237" i="2" a="1"/>
  <c r="D237" i="2" s="1"/>
  <c r="D238" i="2" a="1"/>
  <c r="D238" i="2" s="1"/>
  <c r="D239" i="2" a="1"/>
  <c r="D239" i="2"/>
  <c r="D240" i="2" a="1"/>
  <c r="D240" i="2" s="1"/>
  <c r="D241" i="2" a="1"/>
  <c r="D241" i="2" s="1"/>
  <c r="D242" i="2" a="1"/>
  <c r="D242" i="2"/>
  <c r="D243" i="2" a="1"/>
  <c r="D243" i="2" s="1"/>
  <c r="D244" i="2" a="1"/>
  <c r="D244" i="2" s="1"/>
  <c r="D245" i="2" a="1"/>
  <c r="D245" i="2" s="1"/>
  <c r="D246" i="2" a="1"/>
  <c r="D246" i="2"/>
  <c r="D247" i="2" a="1"/>
  <c r="D247" i="2" s="1"/>
  <c r="D248" i="2" a="1"/>
  <c r="D248" i="2" s="1"/>
  <c r="D249" i="2" a="1"/>
  <c r="D249" i="2" s="1"/>
  <c r="D250" i="2" a="1"/>
  <c r="D250" i="2" s="1"/>
  <c r="D251" i="2" a="1"/>
  <c r="D251" i="2" s="1"/>
  <c r="D252" i="2" a="1"/>
  <c r="D252" i="2" s="1"/>
  <c r="D253" i="2" a="1"/>
  <c r="D253" i="2"/>
  <c r="D254" i="2" a="1"/>
  <c r="D254" i="2" s="1"/>
  <c r="D255" i="2" a="1"/>
  <c r="D255" i="2" s="1"/>
  <c r="D256" i="2" a="1"/>
  <c r="D256" i="2" s="1"/>
  <c r="D257" i="2" a="1"/>
  <c r="D257" i="2" s="1"/>
  <c r="D258" i="2" a="1"/>
  <c r="D258" i="2" s="1"/>
  <c r="D259" i="2" a="1"/>
  <c r="D259" i="2" s="1"/>
  <c r="D260" i="2" a="1"/>
  <c r="D260" i="2" s="1"/>
  <c r="D261" i="2" a="1"/>
  <c r="D261" i="2" s="1"/>
  <c r="D262" i="2" a="1"/>
  <c r="D262" i="2" s="1"/>
  <c r="D263" i="2" a="1"/>
  <c r="D263" i="2" s="1"/>
  <c r="D264" i="2" a="1"/>
  <c r="D264" i="2" s="1"/>
  <c r="D265" i="2" a="1"/>
  <c r="D265" i="2" s="1"/>
  <c r="D266" i="2" a="1"/>
  <c r="D266" i="2" s="1"/>
  <c r="D267" i="2" a="1"/>
  <c r="D267" i="2" s="1"/>
  <c r="D268" i="2" a="1"/>
  <c r="D268" i="2"/>
  <c r="D269" i="2" a="1"/>
  <c r="D269" i="2" s="1"/>
  <c r="D270" i="2" a="1"/>
  <c r="D270" i="2" s="1"/>
  <c r="D271" i="2" a="1"/>
  <c r="D271" i="2" s="1"/>
  <c r="D272" i="2" a="1"/>
  <c r="D272" i="2" s="1"/>
  <c r="D273" i="2" a="1"/>
  <c r="D273" i="2" s="1"/>
  <c r="D274" i="2" a="1"/>
  <c r="D274" i="2"/>
  <c r="D275" i="2" a="1"/>
  <c r="D275" i="2" s="1"/>
  <c r="D276" i="2" a="1"/>
  <c r="D276" i="2"/>
  <c r="D277" i="2" a="1"/>
  <c r="D277" i="2" s="1"/>
  <c r="D278" i="2" a="1"/>
  <c r="D278" i="2" s="1"/>
  <c r="D279" i="2" a="1"/>
  <c r="D279" i="2" s="1"/>
  <c r="D280" i="2" a="1"/>
  <c r="D280" i="2" s="1"/>
  <c r="D281" i="2" a="1"/>
  <c r="D281" i="2" s="1"/>
  <c r="D282" i="2" a="1"/>
  <c r="D282" i="2"/>
  <c r="D283" i="2" a="1"/>
  <c r="D283" i="2"/>
  <c r="D284" i="2" a="1"/>
  <c r="D284" i="2" s="1"/>
  <c r="D285" i="2" a="1"/>
  <c r="D285" i="2" s="1"/>
  <c r="D286" i="2" a="1"/>
  <c r="D286" i="2" s="1"/>
  <c r="D287" i="2" a="1"/>
  <c r="D287" i="2" s="1"/>
  <c r="D288" i="2" a="1"/>
  <c r="D288" i="2"/>
  <c r="D289" i="2" a="1"/>
  <c r="D289" i="2"/>
  <c r="D290" i="2" a="1"/>
  <c r="D290" i="2" s="1"/>
  <c r="D291" i="2" a="1"/>
  <c r="D291" i="2" s="1"/>
  <c r="D292" i="2" a="1"/>
  <c r="D292" i="2" s="1"/>
  <c r="D293" i="2" a="1"/>
  <c r="D293" i="2" s="1"/>
  <c r="D294" i="2" a="1"/>
  <c r="D294" i="2" s="1"/>
  <c r="D295" i="2" a="1"/>
  <c r="D295" i="2" s="1"/>
  <c r="D296" i="2" a="1"/>
  <c r="D296" i="2" s="1"/>
  <c r="D297" i="2" a="1"/>
  <c r="D297" i="2" s="1"/>
  <c r="D298" i="2" a="1"/>
  <c r="D298" i="2" s="1"/>
  <c r="D299" i="2" a="1"/>
  <c r="D299" i="2" s="1"/>
  <c r="D300" i="2" a="1"/>
  <c r="D300" i="2" s="1"/>
  <c r="D301" i="2" a="1"/>
  <c r="D301" i="2" s="1"/>
  <c r="D302" i="2" a="1"/>
  <c r="D302" i="2"/>
  <c r="D303" i="2" a="1"/>
  <c r="D303" i="2" s="1"/>
  <c r="D304" i="2" a="1"/>
  <c r="D304" i="2" s="1"/>
  <c r="D305" i="2" a="1"/>
  <c r="D305" i="2" s="1"/>
  <c r="D306" i="2" a="1"/>
  <c r="D306" i="2" s="1"/>
  <c r="D307" i="2" a="1"/>
  <c r="D307" i="2" s="1"/>
  <c r="D308" i="2" a="1"/>
  <c r="D308" i="2" s="1"/>
  <c r="D309" i="2" a="1"/>
  <c r="D309" i="2" s="1"/>
  <c r="D310" i="2" a="1"/>
  <c r="D310" i="2" s="1"/>
  <c r="D311" i="2" a="1"/>
  <c r="D311" i="2" s="1"/>
  <c r="D312" i="2" a="1"/>
  <c r="D312" i="2"/>
  <c r="D313" i="2" a="1"/>
  <c r="D313" i="2" s="1"/>
  <c r="D314" i="2" a="1"/>
  <c r="D314" i="2" s="1"/>
  <c r="D315" i="2" a="1"/>
  <c r="D315" i="2" s="1"/>
  <c r="D316" i="2" a="1"/>
  <c r="D316" i="2" s="1"/>
  <c r="D317" i="2" a="1"/>
  <c r="D317" i="2" s="1"/>
  <c r="D318" i="2" a="1"/>
  <c r="D318" i="2"/>
  <c r="D319" i="2" a="1"/>
  <c r="D319" i="2" s="1"/>
  <c r="D320" i="2" a="1"/>
  <c r="D320" i="2"/>
  <c r="D321" i="2" a="1"/>
  <c r="D321" i="2" s="1"/>
  <c r="D322" i="2" a="1"/>
  <c r="D322" i="2" s="1"/>
  <c r="D323" i="2" a="1"/>
  <c r="D323" i="2" s="1"/>
  <c r="D324" i="2" a="1"/>
  <c r="D324" i="2"/>
  <c r="D325" i="2" a="1"/>
  <c r="D325" i="2" s="1"/>
  <c r="D326" i="2" a="1"/>
  <c r="D326" i="2"/>
  <c r="D327" i="2" a="1"/>
  <c r="D327" i="2" s="1"/>
  <c r="D328" i="2" a="1"/>
  <c r="D328" i="2"/>
  <c r="D329" i="2" a="1"/>
  <c r="D329" i="2" s="1"/>
  <c r="D330" i="2" a="1"/>
  <c r="D330" i="2" s="1"/>
  <c r="D331" i="2" a="1"/>
  <c r="D331" i="2" s="1"/>
  <c r="D332" i="2" a="1"/>
  <c r="D332" i="2" s="1"/>
  <c r="D333" i="2" a="1"/>
  <c r="D333" i="2" s="1"/>
  <c r="D334" i="2" a="1"/>
  <c r="D334" i="2" s="1"/>
  <c r="D335" i="2" a="1"/>
  <c r="D335" i="2" s="1"/>
  <c r="D336" i="2" a="1"/>
  <c r="D336" i="2" s="1"/>
  <c r="D337" i="2" a="1"/>
  <c r="D337" i="2" s="1"/>
  <c r="D338" i="2" a="1"/>
  <c r="D338" i="2"/>
  <c r="D339" i="2" a="1"/>
  <c r="D339" i="2" s="1"/>
  <c r="D340" i="2" a="1"/>
  <c r="D340" i="2" s="1"/>
  <c r="D341" i="2" a="1"/>
  <c r="D341" i="2"/>
  <c r="D342" i="2" a="1"/>
  <c r="D342" i="2" s="1"/>
  <c r="D343" i="2" a="1"/>
  <c r="D343" i="2" s="1"/>
  <c r="D344" i="2" a="1"/>
  <c r="D344" i="2" s="1"/>
  <c r="D345" i="2" a="1"/>
  <c r="D345" i="2" s="1"/>
  <c r="D346" i="2" a="1"/>
  <c r="D346" i="2"/>
  <c r="D347" i="2" a="1"/>
  <c r="D347" i="2"/>
  <c r="D348" i="2" a="1"/>
  <c r="D348" i="2" s="1"/>
  <c r="D349" i="2" a="1"/>
  <c r="D349" i="2"/>
  <c r="D350" i="2" a="1"/>
  <c r="D350" i="2" s="1"/>
  <c r="D351" i="2" a="1"/>
  <c r="D351" i="2" s="1"/>
  <c r="D352" i="2" a="1"/>
  <c r="D352" i="2" s="1"/>
  <c r="D353" i="2" a="1"/>
  <c r="D353" i="2"/>
  <c r="D354" i="2" a="1"/>
  <c r="D354" i="2"/>
  <c r="D355" i="2" a="1"/>
  <c r="D355" i="2"/>
  <c r="D356" i="2" a="1"/>
  <c r="D356" i="2" s="1"/>
  <c r="D357" i="2" a="1"/>
  <c r="D357" i="2" s="1"/>
  <c r="D358" i="2" a="1"/>
  <c r="D358" i="2" s="1"/>
  <c r="D359" i="2" a="1"/>
  <c r="D359" i="2" s="1"/>
  <c r="D360" i="2" a="1"/>
  <c r="D360" i="2"/>
  <c r="D361" i="2" a="1"/>
  <c r="D361" i="2"/>
  <c r="D362" i="2" a="1"/>
  <c r="D362" i="2"/>
  <c r="D363" i="2" a="1"/>
  <c r="D363" i="2" s="1"/>
  <c r="D364" i="2" a="1"/>
  <c r="D364" i="2" s="1"/>
  <c r="D365" i="2" a="1"/>
  <c r="D365" i="2" s="1"/>
  <c r="D366" i="2" a="1"/>
  <c r="D366" i="2"/>
  <c r="D367" i="2" a="1"/>
  <c r="D367" i="2" s="1"/>
  <c r="D368" i="2" a="1"/>
  <c r="D368" i="2" s="1"/>
  <c r="D369" i="2" a="1"/>
  <c r="D369" i="2" s="1"/>
  <c r="D370" i="2" a="1"/>
  <c r="D370" i="2"/>
  <c r="D371" i="2" a="1"/>
  <c r="D371" i="2" s="1"/>
  <c r="D372" i="2" a="1"/>
  <c r="D372" i="2" s="1"/>
  <c r="D373" i="2" a="1"/>
  <c r="D373" i="2" s="1"/>
  <c r="D374" i="2" a="1"/>
  <c r="D374" i="2" s="1"/>
  <c r="D375" i="2" a="1"/>
  <c r="D375" i="2" s="1"/>
  <c r="D376" i="2" a="1"/>
  <c r="D376" i="2" s="1"/>
  <c r="D377" i="2" a="1"/>
  <c r="D377" i="2" s="1"/>
  <c r="D378" i="2" a="1"/>
  <c r="D378" i="2" s="1"/>
  <c r="D379" i="2" a="1"/>
  <c r="D379" i="2" s="1"/>
  <c r="D380" i="2" a="1"/>
  <c r="D380" i="2" s="1"/>
  <c r="D381" i="2" a="1"/>
  <c r="D381" i="2" s="1"/>
  <c r="D382" i="2" a="1"/>
  <c r="D382" i="2"/>
  <c r="D383" i="2" a="1"/>
  <c r="D383" i="2" s="1"/>
  <c r="D384" i="2" a="1"/>
  <c r="D384" i="2"/>
  <c r="D385" i="2" a="1"/>
  <c r="D385" i="2" s="1"/>
  <c r="D386" i="2" a="1"/>
  <c r="D386" i="2" s="1"/>
  <c r="D387" i="2" a="1"/>
  <c r="D387" i="2" s="1"/>
  <c r="D388" i="2" a="1"/>
  <c r="D388" i="2" s="1"/>
  <c r="D389" i="2" a="1"/>
  <c r="D389" i="2" s="1"/>
  <c r="D390" i="2" a="1"/>
  <c r="D390" i="2"/>
  <c r="D391" i="2" a="1"/>
  <c r="D391" i="2" s="1"/>
  <c r="D392" i="2" a="1"/>
  <c r="D392" i="2" s="1"/>
  <c r="D393" i="2" a="1"/>
  <c r="D393" i="2" s="1"/>
  <c r="D394" i="2" a="1"/>
  <c r="D394" i="2" s="1"/>
  <c r="D395" i="2" a="1"/>
  <c r="D395" i="2" s="1"/>
  <c r="D396" i="2" a="1"/>
  <c r="D396" i="2" s="1"/>
  <c r="D397" i="2" a="1"/>
  <c r="D397" i="2"/>
  <c r="D398" i="2" a="1"/>
  <c r="D398" i="2" s="1"/>
  <c r="D399" i="2" a="1"/>
  <c r="D399" i="2" s="1"/>
  <c r="D400" i="2" a="1"/>
  <c r="D400" i="2" s="1"/>
  <c r="D401" i="2" a="1"/>
  <c r="D401" i="2"/>
  <c r="D402" i="2" a="1"/>
  <c r="D402" i="2" s="1"/>
  <c r="D403" i="2" a="1"/>
  <c r="D403" i="2"/>
  <c r="D404" i="2" a="1"/>
  <c r="D404" i="2" s="1"/>
  <c r="D405" i="2" a="1"/>
  <c r="D405" i="2" s="1"/>
  <c r="D406" i="2" a="1"/>
  <c r="D406" i="2"/>
  <c r="D407" i="2" a="1"/>
  <c r="D407" i="2" s="1"/>
  <c r="D408" i="2" a="1"/>
  <c r="D408" i="2" s="1"/>
  <c r="D409" i="2" a="1"/>
  <c r="D409" i="2"/>
  <c r="D410" i="2" a="1"/>
  <c r="D410" i="2" s="1"/>
  <c r="D411" i="2" a="1"/>
  <c r="D411" i="2" s="1"/>
  <c r="D412" i="2" a="1"/>
  <c r="D412" i="2" s="1"/>
  <c r="D413" i="2" a="1"/>
  <c r="D413" i="2"/>
  <c r="D414" i="2" a="1"/>
  <c r="D414" i="2" s="1"/>
  <c r="D415" i="2" a="1"/>
  <c r="D415" i="2" s="1"/>
  <c r="D416" i="2" a="1"/>
  <c r="D416" i="2"/>
  <c r="D417" i="2" a="1"/>
  <c r="D417" i="2" s="1"/>
  <c r="D418" i="2" a="1"/>
  <c r="D418" i="2"/>
  <c r="D419" i="2" a="1"/>
  <c r="D419" i="2" s="1"/>
  <c r="D420" i="2" a="1"/>
  <c r="D420" i="2" s="1"/>
  <c r="D421" i="2" a="1"/>
  <c r="D421" i="2" s="1"/>
  <c r="D422" i="2" a="1"/>
  <c r="D422" i="2" s="1"/>
  <c r="D423" i="2" a="1"/>
  <c r="D423" i="2" s="1"/>
  <c r="D424" i="2" a="1"/>
  <c r="D424" i="2" s="1"/>
  <c r="D425" i="2" a="1"/>
  <c r="D425" i="2"/>
  <c r="D426" i="2" a="1"/>
  <c r="D426" i="2"/>
  <c r="D427" i="2" a="1"/>
  <c r="D427" i="2" s="1"/>
  <c r="D428" i="2" a="1"/>
  <c r="D428" i="2" s="1"/>
  <c r="D429" i="2" a="1"/>
  <c r="D429" i="2" s="1"/>
  <c r="D430" i="2" a="1"/>
  <c r="D430" i="2" s="1"/>
  <c r="D431" i="2" a="1"/>
  <c r="D431" i="2"/>
  <c r="D432" i="2" a="1"/>
  <c r="D432" i="2"/>
  <c r="D433" i="2" a="1"/>
  <c r="D433" i="2"/>
  <c r="D434" i="2" a="1"/>
  <c r="D434" i="2" s="1"/>
  <c r="D435" i="2" a="1"/>
  <c r="D435" i="2" s="1"/>
  <c r="D436" i="2" a="1"/>
  <c r="D436" i="2" s="1"/>
  <c r="D437" i="2" a="1"/>
  <c r="D437" i="2" s="1"/>
  <c r="D438" i="2" a="1"/>
  <c r="D438" i="2" s="1"/>
  <c r="D439" i="2" a="1"/>
  <c r="D439" i="2"/>
  <c r="D440" i="2" a="1"/>
  <c r="D440" i="2" s="1"/>
  <c r="D441" i="2" a="1"/>
  <c r="D441" i="2" s="1"/>
  <c r="D442" i="2" a="1"/>
  <c r="D442" i="2" s="1"/>
  <c r="D443" i="2" a="1"/>
  <c r="D443" i="2" s="1"/>
  <c r="D444" i="2" a="1"/>
  <c r="D444" i="2" s="1"/>
  <c r="D445" i="2" a="1"/>
  <c r="D445" i="2" s="1"/>
  <c r="D446" i="2" a="1"/>
  <c r="D446" i="2" s="1"/>
  <c r="D447" i="2" a="1"/>
  <c r="D447" i="2" s="1"/>
  <c r="D448" i="2" a="1"/>
  <c r="D448" i="2" s="1"/>
  <c r="D449" i="2" a="1"/>
  <c r="D449" i="2" s="1"/>
  <c r="D450" i="2" a="1"/>
  <c r="D450" i="2" s="1"/>
  <c r="D451" i="2" a="1"/>
  <c r="D451" i="2" s="1"/>
  <c r="D452" i="2" a="1"/>
  <c r="D452" i="2"/>
  <c r="D453" i="2" a="1"/>
  <c r="D453" i="2" s="1"/>
  <c r="D454" i="2" a="1"/>
  <c r="D454" i="2"/>
  <c r="D455" i="2" a="1"/>
  <c r="D455" i="2" s="1"/>
  <c r="D456" i="2" a="1"/>
  <c r="D456" i="2" s="1"/>
  <c r="D457" i="2" a="1"/>
  <c r="D457" i="2" s="1"/>
  <c r="D458" i="2" a="1"/>
  <c r="D458" i="2" s="1"/>
  <c r="D459" i="2" a="1"/>
  <c r="D459" i="2" s="1"/>
  <c r="D460" i="2" a="1"/>
  <c r="D460" i="2" s="1"/>
  <c r="D461" i="2" a="1"/>
  <c r="D461" i="2" s="1"/>
  <c r="D462" i="2" a="1"/>
  <c r="D462" i="2"/>
  <c r="D463" i="2" a="1"/>
  <c r="D463" i="2" s="1"/>
  <c r="D464" i="2" a="1"/>
  <c r="D464" i="2" s="1"/>
  <c r="D465" i="2" a="1"/>
  <c r="D465" i="2" s="1"/>
  <c r="D466" i="2" a="1"/>
  <c r="D466" i="2" s="1"/>
  <c r="D467" i="2" a="1"/>
  <c r="D467" i="2" s="1"/>
  <c r="D468" i="2" a="1"/>
  <c r="D468" i="2"/>
  <c r="D469" i="2" a="1"/>
  <c r="D469" i="2" s="1"/>
  <c r="D470" i="2" a="1"/>
  <c r="D470" i="2" s="1"/>
  <c r="D471" i="2" a="1"/>
  <c r="D471" i="2" s="1"/>
  <c r="D472" i="2" a="1"/>
  <c r="D472" i="2"/>
  <c r="D473" i="2" a="1"/>
  <c r="D473" i="2"/>
  <c r="D474" i="2" a="1"/>
  <c r="D474" i="2" s="1"/>
  <c r="D475" i="2" a="1"/>
  <c r="D475" i="2" s="1"/>
  <c r="D476" i="2" a="1"/>
  <c r="D476" i="2" s="1"/>
  <c r="D477" i="2" a="1"/>
  <c r="D477" i="2" s="1"/>
  <c r="D478" i="2" a="1"/>
  <c r="D478" i="2" s="1"/>
  <c r="D479" i="2" a="1"/>
  <c r="D479" i="2" s="1"/>
  <c r="D480" i="2" a="1"/>
  <c r="D480" i="2"/>
  <c r="D481" i="2" a="1"/>
  <c r="D481" i="2" s="1"/>
  <c r="D482" i="2" a="1"/>
  <c r="D482" i="2"/>
  <c r="D483" i="2" a="1"/>
  <c r="D483" i="2" s="1"/>
  <c r="D484" i="2" a="1"/>
  <c r="D484" i="2" s="1"/>
  <c r="D485" i="2" a="1"/>
  <c r="D485" i="2" s="1"/>
  <c r="D486" i="2" a="1"/>
  <c r="D486" i="2" s="1"/>
  <c r="D487" i="2" a="1"/>
  <c r="D487" i="2" s="1"/>
  <c r="D488" i="2" a="1"/>
  <c r="D488" i="2"/>
  <c r="D489" i="2" a="1"/>
  <c r="D489" i="2" s="1"/>
  <c r="D490" i="2" a="1"/>
  <c r="D490" i="2"/>
  <c r="D491" i="2" a="1"/>
  <c r="D491" i="2" s="1"/>
  <c r="D492" i="2" a="1"/>
  <c r="D492" i="2" s="1"/>
  <c r="D493" i="2" a="1"/>
  <c r="D493" i="2" s="1"/>
  <c r="D494" i="2" a="1"/>
  <c r="D494" i="2" s="1"/>
  <c r="D495" i="2" a="1"/>
  <c r="D495" i="2" s="1"/>
  <c r="D496" i="2" a="1"/>
  <c r="D496" i="2" s="1"/>
  <c r="D497" i="2" a="1"/>
  <c r="D497" i="2" s="1"/>
  <c r="D498" i="2" a="1"/>
  <c r="D498" i="2" s="1"/>
  <c r="D499" i="2" a="1"/>
  <c r="D499" i="2" s="1"/>
  <c r="D500" i="2" a="1"/>
  <c r="D500" i="2" s="1"/>
  <c r="D501" i="2" a="1"/>
  <c r="D501" i="2" s="1"/>
  <c r="D2" i="2" a="1"/>
  <c r="D2"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5B33D2F-1789-4FEB-B495-73F912C82CD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D7F32D7-0B1B-4EA7-A287-5C4987CEB1B4}" name="WorksheetConnection_employee_data^.xlsx!Table4" type="102" refreshedVersion="8" minRefreshableVersion="5">
    <extLst>
      <ext xmlns:x15="http://schemas.microsoft.com/office/spreadsheetml/2010/11/main" uri="{DE250136-89BD-433C-8126-D09CA5730AF9}">
        <x15:connection id="Table4" autoDelete="1">
          <x15:rangePr sourceName="_xlcn.WorksheetConnection_employee_data.xlsxTable4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<sst xmlns="http://schemas.openxmlformats.org/spreadsheetml/2006/main" count="1219" uniqueCount="172">
  <si>
    <t>Index</t>
  </si>
  <si>
    <t>Employee_ID</t>
  </si>
  <si>
    <t>Age</t>
  </si>
  <si>
    <t>Department</t>
  </si>
  <si>
    <t>Is_Manager</t>
  </si>
  <si>
    <t>Join_Date</t>
  </si>
  <si>
    <t>Experience</t>
  </si>
  <si>
    <t>Salary</t>
  </si>
  <si>
    <t>Finance</t>
  </si>
  <si>
    <t>Sales</t>
  </si>
  <si>
    <t>Marketing</t>
  </si>
  <si>
    <t>HR</t>
  </si>
  <si>
    <t>IT</t>
  </si>
  <si>
    <t>Row Labels</t>
  </si>
  <si>
    <t>Grand Total</t>
  </si>
  <si>
    <t>Average of Salary</t>
  </si>
  <si>
    <t>DASHBOARD</t>
  </si>
  <si>
    <t>Column Labels</t>
  </si>
  <si>
    <t>FALSE</t>
  </si>
  <si>
    <t>TRUE</t>
  </si>
  <si>
    <t>Count of Employee_ID</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</si>
  <si>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</si>
  <si>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</si>
  <si>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</si>
  <si>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</si>
  <si>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</si>
  <si>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</si>
  <si>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</si>
  <si>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</si>
  <si>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</si>
  <si>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</si>
  <si>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</si>
  <si>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</si>
  <si>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</si>
  <si>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</si>
  <si>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</si>
  <si>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</si>
  <si>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</si>
  <si>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</si>
  <si>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</si>
  <si>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</si>
  <si>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</si>
  <si>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</si>
  <si>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</si>
  <si>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</si>
  <si>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</si>
  <si>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</si>
  <si>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</si>
  <si>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</si>
  <si>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</si>
  <si>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</si>
  <si>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</si>
  <si>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</si>
  <si>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</si>
  <si>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</si>
  <si>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</si>
  <si>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</si>
  <si>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</si>
  <si>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</si>
  <si>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</si>
  <si>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</si>
  <si>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</si>
  <si>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</si>
  <si>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</si>
  <si>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</si>
  <si>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</si>
  <si>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</si>
  <si>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</si>
  <si>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</si>
  <si>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</si>
  <si>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</si>
  <si>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</si>
  <si>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</si>
  <si>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</si>
  <si>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</si>
  <si>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</si>
  <si>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</si>
  <si>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Age  group</t>
  </si>
  <si>
    <t>20-29</t>
  </si>
  <si>
    <t>30-39</t>
  </si>
  <si>
    <t>40-49</t>
  </si>
  <si>
    <t>50+</t>
  </si>
  <si>
    <t>Salary group</t>
  </si>
  <si>
    <t>1L-1.5L</t>
  </si>
  <si>
    <t>2L+</t>
  </si>
  <si>
    <t>Experience group</t>
  </si>
  <si>
    <t>0-50K</t>
  </si>
  <si>
    <t>1.5-2L</t>
  </si>
  <si>
    <t>50K-1L</t>
  </si>
  <si>
    <t>30+ YEARS</t>
  </si>
  <si>
    <t>7-15 YEARS</t>
  </si>
  <si>
    <t>15-23  YEARS</t>
  </si>
  <si>
    <t>23-30 YEARS</t>
  </si>
  <si>
    <t>ANALYSIS USING EXCEL FUNCTIONS</t>
  </si>
  <si>
    <t>1) WHAT IS THE TOTAL NUMBER OF EMPLOYEES?</t>
  </si>
  <si>
    <t>2) HOW MANY EMPLOYEES WORK IN EACH DEPARTMENT?</t>
  </si>
  <si>
    <t>3) HOW MANY MANAGERS ARE THERE IN EACH DEPARTMENT?</t>
  </si>
  <si>
    <t>5) WHAT IS THE AVERAGE EXPERIENCE OF ALL EMPLOYEES?</t>
  </si>
  <si>
    <t>6) WHAT IS THE AVERAGE SALARY OF MANAGERS VS NON-MANAGERS?</t>
  </si>
  <si>
    <t>FINANCE</t>
  </si>
  <si>
    <t>MARKETING</t>
  </si>
  <si>
    <t>SALES</t>
  </si>
  <si>
    <t>DASHBOARD RECOMMENDED CHART</t>
  </si>
  <si>
    <t>1) HIGHEST AVG SALARY BY DEPT</t>
  </si>
  <si>
    <t>2) MANAGER VS NON MANAGER BY DEPT</t>
  </si>
  <si>
    <t>3) AVG SALARY - MANAGER VS NON MAN</t>
  </si>
  <si>
    <t>4) YEAR VS HIRE TREND</t>
  </si>
  <si>
    <t>5) SALARY DISTRIBUTION</t>
  </si>
  <si>
    <t>6) AGE GROUP DISTRIBUTION</t>
  </si>
  <si>
    <t>7) EMPLOYEE DISTRIBUTION BY EXP &amp; DEPT</t>
  </si>
  <si>
    <t>ANALYSIS USING DASHBOARD</t>
  </si>
  <si>
    <t>Which department has the highest number of employees?</t>
  </si>
  <si>
    <t>IT has the largest workforce with 110 employees (22% of total), indicating IT is the core department.</t>
  </si>
  <si>
    <t>Which department has the lowest number of employees?</t>
  </si>
  <si>
    <t>The HR department has the smallest workforce with 87 employees (17.4% of total).</t>
  </si>
  <si>
    <t>department represent?</t>
  </si>
  <si>
    <t>Whar percentage of the total workforce does the largest</t>
  </si>
  <si>
    <t>The largest department (IT) represents approximately 22% of the total 500 employees.</t>
  </si>
  <si>
    <t>Which department has the highest average salary?</t>
  </si>
  <si>
    <t>Marketing has the highest average salary among the departments, indicating high value for marketing roles.</t>
  </si>
  <si>
    <t>Which departments have salaries below overall company average?</t>
  </si>
  <si>
    <t>HR and Finance have salaries below the overall company average of ₹1,70,634.</t>
  </si>
  <si>
    <t>Which department has the highest number of managers?</t>
  </si>
  <si>
    <t>Sales has the highest number of managers with 60 managers, suggesting strong leadership structure.</t>
  </si>
  <si>
    <t>Are departments with more employees necessarily having more managers?</t>
  </si>
  <si>
    <t>No. IT has the largest workforce (110) but Sales (106) has more managers (60 vs 59).</t>
  </si>
  <si>
    <t>Is there a significant salary gap between managers and non-managers?</t>
  </si>
  <si>
    <t>No. Manager avg is ₹1,71,841 vs Non-Manager ₹1,69,358. Gap is only 1.4%, showing fair pay policy.</t>
  </si>
  <si>
    <t>Is there any noticeable yearly hiring pattern?</t>
  </si>
  <si>
    <t>The hiring trend shows a noticeable increase in employee joining during 2018-2020, indicating expansion phase.</t>
  </si>
  <si>
    <t>INSIGHTS</t>
  </si>
  <si>
    <t>Which age group has the highest number of employees?</t>
  </si>
  <si>
    <t>Which salary range has the most employees?</t>
  </si>
  <si>
    <t>The ₹1.5L - ₹2L salary range has the most employees, which matches the company average of ₹1.70L.</t>
  </si>
  <si>
    <t>How is experience distributed across departments?</t>
  </si>
  <si>
    <t>Finance and IT have more senior employees (21+ years), while HR has relatively more junior employees.</t>
  </si>
  <si>
    <t>The 50+ age group has the highest concentration, indicating a mature and experienced workforce.</t>
  </si>
  <si>
    <t>EDA - EMPLOYEE DATA</t>
  </si>
  <si>
    <t>OBJECTIVE</t>
  </si>
  <si>
    <t xml:space="preserve">• Analyze 500 employee records to understand department </t>
  </si>
  <si>
    <t>distribution and salary trends</t>
  </si>
  <si>
    <t>• Support data driven decision making for workforce management</t>
  </si>
  <si>
    <t>DATA CLEANING</t>
  </si>
  <si>
    <r>
      <t xml:space="preserve">• </t>
    </r>
    <r>
      <rPr>
        <sz val="14"/>
        <color theme="1"/>
        <rFont val="Aptos Narrow"/>
        <family val="2"/>
        <scheme val="minor"/>
      </rPr>
      <t>Checked for missing values: No missing values found</t>
    </r>
  </si>
  <si>
    <r>
      <t xml:space="preserve">• </t>
    </r>
    <r>
      <rPr>
        <sz val="14"/>
        <color theme="1"/>
        <rFont val="Aptos Narrow"/>
        <family val="2"/>
        <scheme val="minor"/>
      </rPr>
      <t>Checked for duplicates: No duplicate Employee IDs</t>
    </r>
  </si>
  <si>
    <t>DATASET OVERVIEW</t>
  </si>
  <si>
    <t xml:space="preserve">Total employees           </t>
  </si>
  <si>
    <t>Departments</t>
  </si>
  <si>
    <t>Time period</t>
  </si>
  <si>
    <t>1970 - 2025</t>
  </si>
  <si>
    <t>Total columns</t>
  </si>
  <si>
    <t>11 (Dept, salary, experience, age, hire year etc..)</t>
  </si>
  <si>
    <t>HEADCOUNT BY DEPARTMENT</t>
  </si>
  <si>
    <t>DEPARTMENT</t>
  </si>
  <si>
    <t>EMPLOYEES</t>
  </si>
  <si>
    <t>SHARE(%)</t>
  </si>
  <si>
    <t>TOTAL</t>
  </si>
  <si>
    <t>AVERAGE SALARY BY ROLES</t>
  </si>
  <si>
    <t>ROLE TYPE</t>
  </si>
  <si>
    <t>AVG SALARY</t>
  </si>
  <si>
    <t>MANAGER</t>
  </si>
  <si>
    <t>NON - MANAGER</t>
  </si>
  <si>
    <t>STATUS</t>
  </si>
  <si>
    <t>RECOMMENDATION</t>
  </si>
  <si>
    <t>1. Marketing ₹1,77,127 Highest, Sales ₹1,64,615 Lowest</t>
  </si>
  <si>
    <t>Sales brings revenue but lowest paid. Give them more bonus.</t>
  </si>
  <si>
    <t>2. Sales = 60 Managers (Highest)
       Too many managers in Sales. Reduce managers, save cost.</t>
  </si>
  <si>
    <t>3. Hiring Trend Fluctuating
       Hiring is random. Make fixed yearly hiring plan.</t>
  </si>
  <si>
    <t>5. Age 40-49 = 170 Max, 20-29 = 77 Min</t>
  </si>
  <si>
    <t>Workforce is old. Hire freshers urgently otherwise retirement problem.</t>
  </si>
  <si>
    <t>.</t>
  </si>
  <si>
    <t>7. Manager vs Non-Manager Gap only ₹2,482Gap too less.
        No benefit to become manager. Give managers 10% extra.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</si>
</sst>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3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u/>
      <sz val="48"/>
      <color theme="4" tint="-0.249977111117893"/>
      <name val="Aptos Narrow"/>
      <family val="2"/>
      <scheme val="minor"/>
    </font>
    <font>
      <sz val="18"/>
      <color theme="1"/>
      <name val="Aptos Narrow"/>
      <family val="2"/>
      <scheme val="minor"/>
    </font>
    <font>
      <b/>
      <sz val="18"/>
      <color theme="1"/>
      <name val="Aptos Narrow"/>
      <family val="2"/>
      <scheme val="minor"/>
    </font>
    <font>
      <sz val="12"/>
      <color theme="1"/>
      <name val="Aptos Narrow"/>
      <family val="2"/>
      <scheme val="minor"/>
    </font>
    <font>
      <b/>
      <sz val="12"/>
      <color theme="1"/>
      <name val="Aptos Narrow"/>
      <family val="2"/>
      <scheme val="minor"/>
    </font>
    <font>
      <b/>
      <sz val="14"/>
      <color theme="1"/>
      <name val="Aptos Narrow"/>
      <family val="2"/>
      <scheme val="minor"/>
    </font>
    <font>
      <b/>
      <sz val="16"/>
      <color theme="0"/>
      <name val="Aptos Narrow"/>
      <family val="2"/>
      <scheme val="minor"/>
    </font>
    <font>
      <b/>
      <sz val="18"/>
      <color theme="0"/>
      <name val="Aptos Narrow"/>
      <family val="2"/>
      <scheme val="minor"/>
    </font>
    <font>
      <sz val="14"/>
      <color theme="1"/>
      <name val="Aptos Narrow"/>
      <family val="2"/>
      <scheme val="minor"/>
    </font>
    <font>
      <sz val="8"/>
      <name val="Aptos Narrow"/>
      <family val="2"/>
      <scheme val="minor"/>
    </font>
    <font>
      <u/>
      <sz val="11"/>
      <color theme="1"/>
      <name val="Aptos Narrow"/>
      <family val="2"/>
      <scheme val="minor"/>
    </font>
    <font>
      <b/>
      <u/>
      <sz val="18"/>
      <color theme="1"/>
      <name val="Aptos Narrow"/>
      <family val="2"/>
      <scheme val="minor"/>
    </font>
    <font>
      <b/>
      <u/>
      <sz val="11"/>
      <color theme="1"/>
      <name val="Aptos Narrow"/>
      <family val="2"/>
      <scheme val="minor"/>
    </font>
    <font>
      <b/>
      <sz val="36"/>
      <color theme="1"/>
      <name val="Aptos Narrow"/>
      <family val="2"/>
      <scheme val="minor"/>
    </font>
    <font>
      <b/>
      <sz val="14"/>
      <color theme="2" tint="-0.749992370372631"/>
      <name val="Aptos Narrow"/>
      <family val="2"/>
      <scheme val="minor"/>
    </font>
    <font>
      <sz val="11"/>
      <color theme="2" tint="-0.749992370372631"/>
      <name val="Aptos Narrow"/>
      <family val="2"/>
      <scheme val="minor"/>
    </font>
    <font>
      <sz val="36"/>
      <color theme="1"/>
      <name val="Aptos Narrow"/>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49992370372631"/>
        <bgColor indexed="64"/>
      </patternFill>
    </fill>
    <fill>
      <patternFill patternType="solid">
        <fgColor theme="4"/>
        <bgColor indexed="64"/>
      </patternFill>
    </fill>
    <fill>
      <patternFill patternType="solid">
        <fgColor theme="3" tint="0.499984740745262"/>
        <bgColor indexed="64"/>
      </patternFill>
    </fill>
    <fill>
      <patternFill patternType="solid">
        <fgColor theme="4" tint="-0.249977111117893"/>
        <bgColor indexed="64"/>
      </patternFill>
    </fill>
    <fill>
      <patternFill patternType="solid">
        <fgColor theme="0"/>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theme="2"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4">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33" borderId="0" xfId="0" applyFill="1" applyAlignment="1">
      <alignment horizontal="center"/>
    </xf>
    <xf numFmtId="0" fontId="0" fillId="33" borderId="0" xfId="0" applyFill="1"/>
    <xf numFmtId="2" fontId="0" fillId="0" borderId="0" xfId="0" applyNumberFormat="1"/>
    <xf numFmtId="0" fontId="0" fillId="0" borderId="0" xfId="0" applyAlignment="1">
      <alignment horizontal="left" vertical="center"/>
    </xf>
    <xf numFmtId="0" fontId="0" fillId="35" borderId="0" xfId="0" applyFill="1"/>
    <xf numFmtId="0" fontId="22" fillId="0" borderId="0" xfId="0" applyFont="1"/>
    <xf numFmtId="0" fontId="0" fillId="36" borderId="0" xfId="0" applyFill="1" applyAlignment="1">
      <alignment horizontal="left"/>
    </xf>
    <xf numFmtId="0" fontId="25" fillId="36" borderId="0" xfId="0" applyFont="1" applyFill="1" applyAlignment="1">
      <alignment horizontal="left"/>
    </xf>
    <xf numFmtId="0" fontId="17" fillId="36" borderId="0" xfId="0" applyFont="1" applyFill="1" applyAlignment="1">
      <alignment horizontal="left"/>
    </xf>
    <xf numFmtId="0" fontId="26" fillId="0" borderId="0" xfId="0" applyFont="1"/>
    <xf numFmtId="0" fontId="21" fillId="0" borderId="0" xfId="0" applyFont="1"/>
    <xf numFmtId="0" fontId="24" fillId="34" borderId="0" xfId="0" applyFont="1" applyFill="1"/>
    <xf numFmtId="0" fontId="25" fillId="34" borderId="0" xfId="0" applyFont="1" applyFill="1" applyAlignment="1">
      <alignment horizontal="left" indent="11"/>
    </xf>
    <xf numFmtId="0" fontId="25" fillId="34" borderId="0" xfId="0" applyFont="1" applyFill="1" applyAlignment="1">
      <alignment horizontal="left" indent="37"/>
    </xf>
    <xf numFmtId="0" fontId="22" fillId="37" borderId="0" xfId="0" applyFont="1" applyFill="1"/>
    <xf numFmtId="0" fontId="0" fillId="37" borderId="0" xfId="0" applyFill="1"/>
    <xf numFmtId="0" fontId="0" fillId="37" borderId="0" xfId="0" applyFill="1" applyAlignment="1">
      <alignment horizontal="left" indent="37"/>
    </xf>
    <xf numFmtId="0" fontId="17" fillId="34" borderId="0" xfId="0" applyFont="1" applyFill="1"/>
    <xf numFmtId="0" fontId="13" fillId="34" borderId="0" xfId="0" applyFont="1" applyFill="1"/>
    <xf numFmtId="0" fontId="13" fillId="34" borderId="0" xfId="0" applyFont="1" applyFill="1" applyAlignment="1">
      <alignment horizontal="center"/>
    </xf>
    <xf numFmtId="0" fontId="16" fillId="37" borderId="0" xfId="0" applyFont="1" applyFill="1"/>
    <xf numFmtId="0" fontId="0" fillId="37" borderId="0" xfId="0" applyFill="1" applyAlignment="1">
      <alignment horizontal="center"/>
    </xf>
    <xf numFmtId="0" fontId="16" fillId="37" borderId="0" xfId="0" applyFont="1" applyFill="1" applyAlignment="1">
      <alignment horizontal="left" vertical="top"/>
    </xf>
    <xf numFmtId="0" fontId="16" fillId="37" borderId="0" xfId="0" applyFont="1" applyFill="1" applyAlignment="1">
      <alignment vertical="top"/>
    </xf>
    <xf numFmtId="0" fontId="0" fillId="35" borderId="0" xfId="0" applyFill="1" applyAlignment="1">
      <alignment horizontal="center"/>
    </xf>
    <xf numFmtId="0" fontId="16" fillId="34" borderId="0" xfId="0" applyFont="1" applyFill="1"/>
    <xf numFmtId="0" fontId="30" fillId="34" borderId="0" xfId="0" applyFont="1" applyFill="1"/>
    <xf numFmtId="0" fontId="16" fillId="38" borderId="0" xfId="0" applyFont="1" applyFill="1" applyAlignment="1">
      <alignment horizontal="center" vertical="center"/>
    </xf>
    <xf numFmtId="0" fontId="0" fillId="39" borderId="0" xfId="0" applyFill="1"/>
    <xf numFmtId="0" fontId="29" fillId="39" borderId="0" xfId="0" applyFont="1" applyFill="1"/>
    <xf numFmtId="0" fontId="28" fillId="39" borderId="0" xfId="0" applyFont="1" applyFill="1"/>
    <xf numFmtId="0" fontId="19" fillId="39" borderId="0" xfId="0" applyFont="1" applyFill="1"/>
    <xf numFmtId="0" fontId="26" fillId="39" borderId="0" xfId="0" applyFont="1" applyFill="1"/>
    <xf numFmtId="0" fontId="26" fillId="39" borderId="0" xfId="0" applyFont="1" applyFill="1" applyAlignment="1">
      <alignment horizontal="left"/>
    </xf>
    <xf numFmtId="0" fontId="20" fillId="39" borderId="0" xfId="0" applyFont="1" applyFill="1"/>
    <xf numFmtId="0" fontId="23" fillId="39" borderId="0" xfId="0" applyFont="1" applyFill="1"/>
    <xf numFmtId="0" fontId="32" fillId="39" borderId="0" xfId="0" applyFont="1" applyFill="1"/>
    <xf numFmtId="0" fontId="33" fillId="39" borderId="0" xfId="0" applyFont="1" applyFill="1"/>
    <xf numFmtId="0" fontId="32" fillId="39" borderId="0" xfId="0" applyFont="1" applyFill="1" applyAlignment="1">
      <alignment horizontal="left" vertical="top"/>
    </xf>
    <xf numFmtId="10" fontId="26" fillId="39" borderId="0" xfId="0" applyNumberFormat="1" applyFont="1" applyFill="1" applyAlignment="1">
      <alignment horizontal="left" vertical="top"/>
    </xf>
    <xf numFmtId="9" fontId="26" fillId="39" borderId="0" xfId="0" applyNumberFormat="1" applyFont="1" applyFill="1" applyAlignment="1">
      <alignment horizontal="left" vertical="top"/>
    </xf>
    <xf numFmtId="0" fontId="29" fillId="39" borderId="0" xfId="0" applyFont="1" applyFill="1" applyAlignment="1">
      <alignment horizontal="left" indent="2"/>
    </xf>
    <xf numFmtId="0" fontId="28" fillId="39" borderId="0" xfId="0" applyFont="1" applyFill="1" applyAlignment="1">
      <alignment horizontal="left" indent="2"/>
    </xf>
    <xf numFmtId="0" fontId="34" fillId="33" borderId="0" xfId="0" applyFont="1" applyFill="1"/>
    <xf numFmtId="0" fontId="31" fillId="33" borderId="0" xfId="0" applyFont="1" applyFill="1"/>
    <xf numFmtId="0" fontId="16" fillId="39" borderId="0" xfId="0" applyFont="1" applyFill="1"/>
    <xf numFmtId="9" fontId="23" fillId="39" borderId="0" xfId="0" applyNumberFormat="1" applyFont="1" applyFill="1" applyAlignment="1">
      <alignment horizontal="center"/>
    </xf>
    <xf numFmtId="0" fontId="16" fillId="37" borderId="0" xfId="0" applyFont="1" applyFill="1" applyAlignment="1">
      <alignment horizontal="left" vertical="center"/>
    </xf>
    <xf numFmtId="0" fontId="0" fillId="37" borderId="0" xfId="0" applyFill="1" applyAlignment="1">
      <alignment horizontal="left" vertical="center"/>
    </xf>
    <xf numFmtId="0" fontId="21" fillId="39" borderId="0" xfId="0" applyFont="1" applyFill="1"/>
    <xf numFmtId="0" fontId="22" fillId="39" borderId="0" xfId="0" applyFont="1" applyFill="1"/>
    <xf numFmtId="0" fontId="21" fillId="0" borderId="0" xfId="0" applyFont="1" applyAlignment="1">
      <alignment vertical="center"/>
    </xf>
    <xf numFmtId="0" fontId="21" fillId="0" borderId="0" xfId="0" applyFont="1" applyAlignment="1">
      <alignment vertical="center" wrapText="1"/>
    </xf>
    <xf numFmtId="0" fontId="21" fillId="0" borderId="0" xfId="0" applyFont="1" applyAlignment="1">
      <alignment vertical="top" wrapText="1"/>
    </xf>
    <xf numFmtId="0" fontId="21" fillId="0" borderId="0" xfId="0" applyFont="1" applyAlignment="1">
      <alignment horizontal="left" vertical="center"/>
    </xf>
    <xf numFmtId="0" fontId="21" fillId="0" borderId="0" xfId="0" applyFont="1" applyAlignment="1">
      <alignment horizontal="left" vertical="top" wrapText="1"/>
    </xf>
    <xf numFmtId="0" fontId="0" fillId="40" borderId="0" xfId="0" applyFill="1"/>
    <xf numFmtId="0" fontId="18" fillId="40" borderId="0" xfId="0" applyFont="1" applyFill="1" applyAlignment="1">
      <alignment horizontal="left" indent="76"/>
    </xf>
    <xf numFmtId="0" fontId="0" fillId="40" borderId="0" xfId="0" applyFill="1" applyAlignment="1">
      <alignment horizontal="left" indent="76"/>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7">
    <dxf>
      <numFmt numFmtId="2" formatCode="0.00"/>
    </dxf>
    <dxf>
      <numFmt numFmtId="164" formatCode="&quot;₹&quot;\ #,##0"/>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0"/>
        </patternFill>
      </fill>
    </dxf>
    <dxf>
      <fill>
        <patternFill patternType="solid">
          <fgColor indexed="64"/>
          <bgColor theme="3" tint="0.89999084444715716"/>
        </patternFill>
      </fill>
    </dxf>
    <dxf>
      <fill>
        <patternFill patternType="solid">
          <fgColor indexed="64"/>
          <bgColor theme="0"/>
        </patternFill>
      </fill>
    </dxf>
    <dxf>
      <fill>
        <patternFill patternType="solid">
          <fgColor indexed="64"/>
          <bgColor theme="3" tint="0.89999084444715716"/>
        </patternFill>
      </fill>
    </dxf>
    <dxf>
      <fill>
        <patternFill patternType="solid">
          <fgColor indexed="64"/>
          <bgColor theme="0"/>
        </patternFill>
      </fill>
    </dxf>
    <dxf>
      <fill>
        <patternFill patternType="solid">
          <fgColor indexed="64"/>
          <bgColor theme="3" tint="0.89999084444715716"/>
        </patternFill>
      </fill>
    </dxf>
    <dxf>
      <fill>
        <patternFill patternType="solid">
          <fgColor indexed="64"/>
          <bgColor theme="0"/>
        </patternFill>
      </fill>
    </dxf>
    <dxf>
      <fill>
        <patternFill patternType="solid">
          <fgColor indexed="64"/>
          <bgColor theme="3" tint="0.89999084444715716"/>
        </patternFill>
      </fill>
    </dxf>
    <dxf>
      <fill>
        <patternFill patternType="solid">
          <fgColor indexed="64"/>
          <bgColor theme="0"/>
        </patternFill>
      </fill>
    </dxf>
    <dxf>
      <fill>
        <patternFill patternType="solid">
          <fgColor indexed="64"/>
          <bgColor theme="3" tint="0.89999084444715716"/>
        </patternFill>
      </fill>
    </dxf>
    <dxf>
      <fill>
        <patternFill patternType="solid">
          <fgColor indexed="64"/>
          <bgColor theme="0"/>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ont>
        <b/>
        <i val="0"/>
        <strike val="0"/>
        <condense val="0"/>
        <extend val="0"/>
        <outline val="0"/>
        <shadow val="0"/>
        <u val="none"/>
        <vertAlign val="baseline"/>
        <sz val="12"/>
        <color theme="1"/>
        <name val="Aptos Narrow"/>
        <family val="2"/>
        <scheme val="minor"/>
      </font>
      <fill>
        <patternFill patternType="solid">
          <fgColor indexed="64"/>
          <bgColor theme="0"/>
        </patternFill>
      </fill>
    </dxf>
    <dxf>
      <font>
        <b/>
        <i val="0"/>
        <strike val="0"/>
        <condense val="0"/>
        <extend val="0"/>
        <outline val="0"/>
        <shadow val="0"/>
        <u val="none"/>
        <vertAlign val="baseline"/>
        <sz val="12"/>
        <color theme="1"/>
        <name val="Aptos Narrow"/>
        <family val="2"/>
        <scheme val="minor"/>
      </font>
      <fill>
        <patternFill patternType="solid">
          <fgColor indexed="64"/>
          <bgColor theme="0"/>
        </patternFill>
      </fill>
    </dxf>
    <dxf>
      <font>
        <b/>
        <i val="0"/>
        <strike val="0"/>
        <condense val="0"/>
        <extend val="0"/>
        <outline val="0"/>
        <shadow val="0"/>
        <u val="none"/>
        <vertAlign val="baseline"/>
        <sz val="12"/>
        <color theme="1"/>
        <name val="Aptos Narrow"/>
        <family val="2"/>
        <scheme val="minor"/>
      </font>
      <fill>
        <patternFill patternType="solid">
          <fgColor indexed="64"/>
          <bgColor theme="0"/>
        </patternFill>
      </fill>
    </dxf>
    <dxf>
      <font>
        <b/>
        <i val="0"/>
        <strike val="0"/>
        <condense val="0"/>
        <extend val="0"/>
        <outline val="0"/>
        <shadow val="0"/>
        <u val="none"/>
        <vertAlign val="baseline"/>
        <sz val="12"/>
        <color theme="1"/>
        <name val="Aptos Narrow"/>
        <family val="2"/>
        <scheme val="minor"/>
      </font>
      <fill>
        <patternFill patternType="solid">
          <fgColor indexed="64"/>
          <bgColor theme="0"/>
        </patternFill>
      </fill>
    </dxf>
    <dxf>
      <font>
        <b/>
        <i val="0"/>
        <strike val="0"/>
        <condense val="0"/>
        <extend val="0"/>
        <outline val="0"/>
        <shadow val="0"/>
        <u val="none"/>
        <vertAlign val="baseline"/>
        <sz val="12"/>
        <color theme="1"/>
        <name val="Aptos Narrow"/>
        <family val="2"/>
        <scheme val="minor"/>
      </font>
      <fill>
        <patternFill patternType="solid">
          <fgColor indexed="64"/>
          <bgColor theme="0"/>
        </patternFill>
      </fill>
    </dxf>
    <dxf>
      <font>
        <b/>
        <i val="0"/>
        <strike val="0"/>
        <condense val="0"/>
        <extend val="0"/>
        <outline val="0"/>
        <shadow val="0"/>
        <u val="none"/>
        <vertAlign val="baseline"/>
        <sz val="12"/>
        <color theme="1"/>
        <name val="Aptos Narrow"/>
        <family val="2"/>
        <scheme val="minor"/>
      </font>
      <fill>
        <patternFill patternType="solid">
          <fgColor indexed="64"/>
          <bgColor theme="0"/>
        </patternFill>
      </fill>
    </dxf>
    <dxf>
      <font>
        <b/>
        <i val="0"/>
        <strike val="0"/>
        <condense val="0"/>
        <extend val="0"/>
        <outline val="0"/>
        <shadow val="0"/>
        <u val="none"/>
        <vertAlign val="baseline"/>
        <sz val="12"/>
        <color theme="1"/>
        <name val="Aptos Narrow"/>
        <family val="2"/>
        <scheme val="minor"/>
      </font>
      <fill>
        <patternFill patternType="solid">
          <fgColor indexed="64"/>
          <bgColor theme="0"/>
        </patternFill>
      </fill>
    </dxf>
    <dxf>
      <font>
        <b/>
        <i val="0"/>
        <strike val="0"/>
        <condense val="0"/>
        <extend val="0"/>
        <outline val="0"/>
        <shadow val="0"/>
        <u val="none"/>
        <vertAlign val="baseline"/>
        <sz val="12"/>
        <color theme="1"/>
        <name val="Aptos Narrow"/>
        <family val="2"/>
        <scheme val="minor"/>
      </font>
      <fill>
        <patternFill patternType="solid">
          <fgColor indexed="64"/>
          <bgColor theme="0"/>
        </patternFill>
      </fill>
    </dxf>
    <dxf>
      <fill>
        <patternFill patternType="solid">
          <fgColor indexed="64"/>
          <bgColor theme="0"/>
        </patternFill>
      </fill>
    </dxf>
    <dxf>
      <fill>
        <patternFill patternType="solid">
          <fgColor indexed="64"/>
          <bgColor theme="0"/>
        </patternFill>
      </fill>
    </dxf>
    <dxf>
      <font>
        <b/>
        <i val="0"/>
        <strike val="0"/>
        <condense val="0"/>
        <extend val="0"/>
        <outline val="0"/>
        <shadow val="0"/>
        <u val="none"/>
        <vertAlign val="baseline"/>
        <sz val="12"/>
        <color theme="1"/>
        <name val="Aptos Narrow"/>
        <family val="2"/>
        <scheme val="minor"/>
      </font>
    </dxf>
    <dxf>
      <font>
        <b/>
        <i val="0"/>
        <strike val="0"/>
        <condense val="0"/>
        <extend val="0"/>
        <outline val="0"/>
        <shadow val="0"/>
        <u val="none"/>
        <vertAlign val="baseline"/>
        <sz val="12"/>
        <color theme="1"/>
        <name val="Aptos Narrow"/>
        <family val="2"/>
        <scheme val="minor"/>
      </font>
    </dxf>
    <dxf>
      <font>
        <b/>
        <i val="0"/>
        <strike val="0"/>
        <condense val="0"/>
        <extend val="0"/>
        <outline val="0"/>
        <shadow val="0"/>
        <u val="none"/>
        <vertAlign val="baseline"/>
        <sz val="12"/>
        <color theme="1"/>
        <name val="Aptos Narrow"/>
        <family val="2"/>
        <scheme val="minor"/>
      </font>
    </dxf>
    <dxf>
      <font>
        <b/>
        <i val="0"/>
        <strike val="0"/>
        <condense val="0"/>
        <extend val="0"/>
        <outline val="0"/>
        <shadow val="0"/>
        <u val="none"/>
        <vertAlign val="baseline"/>
        <sz val="12"/>
        <color theme="1"/>
        <name val="Aptos Narrow"/>
        <family val="2"/>
        <scheme val="minor"/>
      </font>
    </dxf>
    <dxf>
      <font>
        <b/>
        <i val="0"/>
        <strike val="0"/>
        <condense val="0"/>
        <extend val="0"/>
        <outline val="0"/>
        <shadow val="0"/>
        <u val="none"/>
        <vertAlign val="baseline"/>
        <sz val="12"/>
        <color theme="1"/>
        <name val="Aptos Narrow"/>
        <family val="2"/>
        <scheme val="minor"/>
      </font>
    </dxf>
    <dxf>
      <font>
        <b/>
        <i val="0"/>
        <strike val="0"/>
        <condense val="0"/>
        <extend val="0"/>
        <outline val="0"/>
        <shadow val="0"/>
        <u val="none"/>
        <vertAlign val="baseline"/>
        <sz val="12"/>
        <color theme="1"/>
        <name val="Aptos Narrow"/>
        <family val="2"/>
        <scheme val="minor"/>
      </font>
    </dxf>
    <dxf>
      <font>
        <b/>
        <i val="0"/>
        <strike val="0"/>
        <condense val="0"/>
        <extend val="0"/>
        <outline val="0"/>
        <shadow val="0"/>
        <u val="none"/>
        <vertAlign val="baseline"/>
        <sz val="12"/>
        <color theme="1"/>
        <name val="Aptos Narrow"/>
        <family val="2"/>
        <scheme val="minor"/>
      </font>
    </dxf>
    <dxf>
      <font>
        <b/>
        <i val="0"/>
        <strike val="0"/>
        <condense val="0"/>
        <extend val="0"/>
        <outline val="0"/>
        <shadow val="0"/>
        <u val="none"/>
        <vertAlign val="baseline"/>
        <sz val="12"/>
        <color theme="1"/>
        <name val="Aptos Narrow"/>
        <family val="2"/>
        <scheme val="minor"/>
      </font>
    </dxf>
    <dxf>
      <font>
        <b/>
        <i val="0"/>
        <strike val="0"/>
        <condense val="0"/>
        <extend val="0"/>
        <outline val="0"/>
        <shadow val="0"/>
        <u val="none"/>
        <vertAlign val="baseline"/>
        <sz val="12"/>
        <color theme="1"/>
        <name val="Aptos Narrow"/>
        <family val="2"/>
        <scheme val="minor"/>
      </font>
    </dxf>
    <dxf>
      <font>
        <b/>
        <i val="0"/>
        <strike val="0"/>
        <condense val="0"/>
        <extend val="0"/>
        <outline val="0"/>
        <shadow val="0"/>
        <u val="none"/>
        <vertAlign val="baseline"/>
        <sz val="12"/>
        <color theme="1"/>
        <name val="Aptos Narrow"/>
        <family val="2"/>
        <scheme val="minor"/>
      </font>
    </dxf>
    <dxf>
      <font>
        <b/>
        <i val="0"/>
        <strike val="0"/>
        <condense val="0"/>
        <extend val="0"/>
        <outline val="0"/>
        <shadow val="0"/>
        <u val="none"/>
        <vertAlign val="baseline"/>
        <sz val="12"/>
        <color theme="1"/>
        <name val="Aptos Narrow"/>
        <family val="2"/>
        <scheme val="minor"/>
      </font>
    </dxf>
    <dxf>
      <font>
        <b/>
        <i val="0"/>
        <strike val="0"/>
        <condense val="0"/>
        <extend val="0"/>
        <outline val="0"/>
        <shadow val="0"/>
        <u val="none"/>
        <vertAlign val="baseline"/>
        <sz val="12"/>
        <color theme="1"/>
        <name val="Aptos Narrow"/>
        <family val="2"/>
        <scheme val="minor"/>
      </font>
    </dxf>
    <dxf>
      <font>
        <b/>
        <i val="0"/>
        <strike val="0"/>
        <condense val="0"/>
        <extend val="0"/>
        <outline val="0"/>
        <shadow val="0"/>
        <u val="none"/>
        <vertAlign val="baseline"/>
        <sz val="12"/>
        <color theme="1"/>
        <name val="Aptos Narrow"/>
        <family val="2"/>
        <scheme val="minor"/>
      </font>
    </dxf>
    <dxf>
      <font>
        <b/>
        <i val="0"/>
        <strike val="0"/>
        <condense val="0"/>
        <extend val="0"/>
        <outline val="0"/>
        <shadow val="0"/>
        <u val="none"/>
        <vertAlign val="baseline"/>
        <sz val="12"/>
        <color theme="1"/>
        <name val="Aptos Narrow"/>
        <family val="2"/>
        <scheme val="minor"/>
      </font>
    </dxf>
    <dxf>
      <fill>
        <patternFill patternType="solid">
          <fgColor indexed="64"/>
          <bgColor theme="3" tint="0.749992370372631"/>
        </patternFill>
      </fill>
      <alignment horizontal="center" vertical="bottom" textRotation="0" wrapText="0" indent="0" justifyLastLine="0" shrinkToFit="0" readingOrder="0"/>
    </dxf>
    <dxf>
      <fill>
        <patternFill patternType="solid">
          <fgColor indexed="64"/>
          <bgColor theme="3" tint="0.749992370372631"/>
        </patternFill>
      </fill>
      <alignment horizontal="center" vertical="bottom" textRotation="0" wrapText="0" indent="0" justifyLastLine="0" shrinkToFit="0" readingOrder="0"/>
    </dxf>
    <dxf>
      <numFmt numFmtId="19" formatCode="dd/mm/yyyy"/>
    </dxf>
    <dxf>
      <fill>
        <patternFill patternType="solid">
          <fgColor indexed="64"/>
          <bgColor theme="3" tint="0.749992370372631"/>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powerPivotData" Target="model/item.data"/><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[employee_data^.xlsx]HIGHEST AVG SALARY BY DEPT!PivotTable1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HIGHEST</a:t>
            </a:r>
            <a:r>
              <a:rPr lang="en-IN" baseline="0"/>
              <a:t> AVG SALARY BY DEPT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62158956109134E-2"/>
          <c:y val="0.1721912720519963"/>
          <c:w val="0.93475682087781731"/>
          <c:h val="0.72048157977467298"/>
        </c:manualLayout>
      </c:layout>
      <c:barChart>
        <c:barDir val="col"/>
        <c:grouping val="clustered"/>
        <c:varyColors val="0"/>
        <c:ser>
          <c:idx val="0"/>
          <c:order val="0"/>
          <c:tx>
            <c:strRef>
              <c:f>'HIGHEST AVG SALARY BY DEPT'!$B$3</c:f>
              <c:strCache>
                <c:ptCount val="1"/>
                <c:pt idx="0">
                  <c:v>Total</c:v>
                </c:pt>
              </c:strCache>
            </c:strRef>
          </c:tx>
          <c:spPr>
            <a:solidFill>
              <a:schemeClr val="bg2">
                <a:lumMod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'HIGHEST AVG SALARY BY DEPT'!$A$4:$A$9</c:f>
              <c:strCache>
                <c:ptCount val="5"/>
                <c:pt idx="0">
                  <c:v>Finance</c:v>
                </c:pt>
                <c:pt idx="1">
                  <c:v>HR</c:v>
                </c:pt>
                <c:pt idx="2">
                  <c:v>IT</c:v>
                </c:pt>
                <c:pt idx="3">
                  <c:v>Marketing</c:v>
                </c:pt>
                <c:pt idx="4">
                  <c:v>Sales</c:v>
                </c:pt>
              </c:strCache>
            </c:strRef>
          </c:cat>
          <c:val>
            <c:numRef>
              <c:f>'HIGHEST AVG SALARY BY DEPT'!$B$4:$B$9</c:f>
              <c:numCache>
                <c:formatCode>"₹"\ #,##0</c:formatCode>
                <c:ptCount val="5"/>
                <c:pt idx="0">
                  <c:v>167374.46078431373</c:v>
                </c:pt>
                <c:pt idx="1">
                  <c:v>172150.57471264369</c:v>
                </c:pt>
                <c:pt idx="2">
                  <c:v>172650.85454545455</c:v>
                </c:pt>
                <c:pt idx="3">
                  <c:v>177127.2</c:v>
                </c:pt>
                <c:pt idx="4">
                  <c:v>164615.21698113208</c:v>
                </c:pt>
              </c:numCache>
            </c:numRef>
          </c:val>
          <c:extLst>
            <c:ext xmlns:c16="http://schemas.microsoft.com/office/drawing/2014/chart" uri="{C3380CC4-5D6E-409C-BE32-E72D297353CC}">
              <c16:uniqueId val="{00000000-EA3B-40F6-8DF9-ADB96B1DB45B}"/>
            </c:ext>
          </c:extLst>
        </c:ser>
        <c:dLbls>
          <c:dLblPos val="outEnd"/>
          <c:showLegendKey val="0"/>
          <c:showVal val="1"/>
          <c:showCatName val="0"/>
          <c:showSerName val="0"/>
          <c:showPercent val="0"/>
          <c:showBubbleSize val="0"/>
        </c:dLbls>
        <c:gapWidth val="219"/>
        <c:overlap val="-27"/>
        <c:axId val="378476991"/>
        <c:axId val="234209359"/>
      </c:barChart>
      <c:catAx>
        <c:axId val="3784769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209359"/>
        <c:crosses val="autoZero"/>
        <c:auto val="1"/>
        <c:lblAlgn val="ctr"/>
        <c:lblOffset val="100"/>
        <c:noMultiLvlLbl val="0"/>
      </c:catAx>
      <c:valAx>
        <c:axId val="234209359"/>
        <c:scaling>
          <c:orientation val="minMax"/>
        </c:scaling>
        <c:delete val="1"/>
        <c:axPos val="l"/>
        <c:numFmt formatCode="&quot;₹&quot;\ #,##0" sourceLinked="1"/>
        <c:majorTickMark val="out"/>
        <c:minorTickMark val="none"/>
        <c:tickLblPos val="nextTo"/>
        <c:crossAx val="378476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[employee_data^.xlsx]MANAGER VS NON MANAGER BY DEPT!PivotTable2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MANAGER VS NON MANAGER BY DEPT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1.6666666666666642E-2"/>
              <c:y val="-4.2437781360066642E-17"/>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8.3333333333333332E-3"/>
              <c:y val="-4.6296296296296719E-3"/>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1.6666666666666642E-2"/>
              <c:y val="-4.2437781360066642E-17"/>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8.3333333333333332E-3"/>
              <c:y val="-4.6296296296296719E-3"/>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hade val="76000"/>
            </a:schemeClr>
          </a:solidFill>
          <a:ln>
            <a:noFill/>
          </a:ln>
          <a:effectLst/>
        </c:spPr>
        <c:dLbl>
          <c:idx val="0"/>
          <c:layout>
            <c:manualLayout>
              <c:x val="1.6666666666666642E-2"/>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hade val="76000"/>
            </a:schemeClr>
          </a:solidFill>
          <a:ln>
            <a:noFill/>
          </a:ln>
          <a:effectLst/>
        </c:spPr>
        <c:dLbl>
          <c:idx val="0"/>
          <c:layout>
            <c:manualLayout>
              <c:x val="8.3333333333333332E-3"/>
              <c:y val="-4.62962962962967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'MANAGER VS NON MANAGER BY DEPT'!$B$3:$B$4</c:f>
              <c:strCache>
                <c:ptCount val="1"/>
                <c:pt idx="0">
                  <c:v>FALSE</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'MANAGER VS NON MANAGER BY DEPT'!$A$5:$A$10</c:f>
              <c:strCache>
                <c:ptCount val="5"/>
                <c:pt idx="0">
                  <c:v>Finance</c:v>
                </c:pt>
                <c:pt idx="1">
                  <c:v>HR</c:v>
                </c:pt>
                <c:pt idx="2">
                  <c:v>IT</c:v>
                </c:pt>
                <c:pt idx="3">
                  <c:v>Marketing</c:v>
                </c:pt>
                <c:pt idx="4">
                  <c:v>Sales</c:v>
                </c:pt>
              </c:strCache>
            </c:strRef>
          </c:cat>
          <c:val>
            <c:numRef>
              <c:f>'MANAGER VS NON MANAGER BY DEPT'!$B$5:$B$10</c:f>
              <c:numCache>
                <c:formatCode>General</c:formatCode>
                <c:ptCount val="5"/>
                <c:pt idx="0">
                  <c:v>57</c:v>
                </c:pt>
                <c:pt idx="1">
                  <c:v>41</c:v>
                </c:pt>
                <c:pt idx="2">
                  <c:v>51</c:v>
                </c:pt>
                <c:pt idx="3">
                  <c:v>48</c:v>
                </c:pt>
                <c:pt idx="4">
                  <c:v>46</c:v>
                </c:pt>
              </c:numCache>
            </c:numRef>
          </c:val>
          <c:extLst>
            <c:ext xmlns:c16="http://schemas.microsoft.com/office/drawing/2014/chart" uri="{C3380CC4-5D6E-409C-BE32-E72D297353CC}">
              <c16:uniqueId val="{00000000-5281-464F-96F7-43238BE6FBB5}"/>
            </c:ext>
          </c:extLst>
        </c:ser>
        <c:ser>
          <c:idx val="1"/>
          <c:order val="1"/>
          <c:tx>
            <c:strRef>
              <c:f>'MANAGER VS NON MANAGER BY DEPT'!$C$3:$C$4</c:f>
              <c:strCache>
                <c:ptCount val="1"/>
                <c:pt idx="0">
                  <c:v>TRUE</c:v>
                </c:pt>
              </c:strCache>
            </c:strRef>
          </c:tx>
          <c:spPr>
            <a:solidFill>
              <a:schemeClr val="accent1">
                <a:shade val="76000"/>
              </a:schemeClr>
            </a:solidFill>
            <a:ln>
              <a:noFill/>
            </a:ln>
            <a:effectLst/>
          </c:spPr>
          <c:invertIfNegative val="0"/>
          <c:dPt>
            <c:idx val="0"/>
            <c:invertIfNegative val="0"/>
            <c:bubble3D val="0"/>
            <c:spPr>
              <a:solidFill>
                <a:schemeClr val="accent1">
                  <a:shade val="76000"/>
                </a:schemeClr>
              </a:solidFill>
              <a:ln>
                <a:noFill/>
              </a:ln>
              <a:effectLst/>
            </c:spPr>
            <c:extLst>
              <c:ext xmlns:c16="http://schemas.microsoft.com/office/drawing/2014/chart" uri="{C3380CC4-5D6E-409C-BE32-E72D297353CC}">
                <c16:uniqueId val="{00000001-5281-464F-96F7-43238BE6FBB5}"/>
              </c:ext>
            </c:extLst>
          </c:dPt>
          <c:dPt>
            <c:idx val="3"/>
            <c:invertIfNegative val="0"/>
            <c:bubble3D val="0"/>
            <c:spPr>
              <a:solidFill>
                <a:schemeClr val="accent1">
                  <a:shade val="76000"/>
                </a:schemeClr>
              </a:solidFill>
              <a:ln>
                <a:noFill/>
              </a:ln>
              <a:effectLst/>
            </c:spPr>
            <c:extLst>
              <c:ext xmlns:c16="http://schemas.microsoft.com/office/drawing/2014/chart" uri="{C3380CC4-5D6E-409C-BE32-E72D297353CC}">
                <c16:uniqueId val="{00000002-5281-464F-96F7-43238BE6FBB5}"/>
              </c:ext>
            </c:extLst>
          </c:dPt>
          <c:dLbls>
            <c:dLbl>
              <c:idx val="0"/>
              <c:layout>
                <c:manualLayout>
                  <c:x val="1.6666666666666642E-2"/>
                  <c:y val="-4.2437781360066642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281-464F-96F7-43238BE6FBB5}"/>
                </c:ext>
              </c:extLst>
            </c:dLbl>
            <c:dLbl>
              <c:idx val="3"/>
              <c:layout>
                <c:manualLayout>
                  <c:x val="8.3333333333333332E-3"/>
                  <c:y val="-4.629629629629671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281-464F-96F7-43238BE6FBB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'MANAGER VS NON MANAGER BY DEPT'!$A$5:$A$10</c:f>
              <c:strCache>
                <c:ptCount val="5"/>
                <c:pt idx="0">
                  <c:v>Finance</c:v>
                </c:pt>
                <c:pt idx="1">
                  <c:v>HR</c:v>
                </c:pt>
                <c:pt idx="2">
                  <c:v>IT</c:v>
                </c:pt>
                <c:pt idx="3">
                  <c:v>Marketing</c:v>
                </c:pt>
                <c:pt idx="4">
                  <c:v>Sales</c:v>
                </c:pt>
              </c:strCache>
            </c:strRef>
          </c:cat>
          <c:val>
            <c:numRef>
              <c:f>'MANAGER VS NON MANAGER BY DEPT'!$C$5:$C$10</c:f>
              <c:numCache>
                <c:formatCode>General</c:formatCode>
                <c:ptCount val="5"/>
                <c:pt idx="0">
                  <c:v>45</c:v>
                </c:pt>
                <c:pt idx="1">
                  <c:v>46</c:v>
                </c:pt>
                <c:pt idx="2">
                  <c:v>59</c:v>
                </c:pt>
                <c:pt idx="3">
                  <c:v>47</c:v>
                </c:pt>
                <c:pt idx="4">
                  <c:v>60</c:v>
                </c:pt>
              </c:numCache>
            </c:numRef>
          </c:val>
          <c:extLst>
            <c:ext xmlns:c16="http://schemas.microsoft.com/office/drawing/2014/chart" uri="{C3380CC4-5D6E-409C-BE32-E72D297353CC}">
              <c16:uniqueId val="{00000003-5281-464F-96F7-43238BE6FBB5}"/>
            </c:ext>
          </c:extLst>
        </c:ser>
        <c:dLbls>
          <c:showLegendKey val="0"/>
          <c:showVal val="1"/>
          <c:showCatName val="0"/>
          <c:showSerName val="0"/>
          <c:showPercent val="0"/>
          <c:showBubbleSize val="0"/>
        </c:dLbls>
        <c:gapWidth val="219"/>
        <c:overlap val="-27"/>
        <c:axId val="667918591"/>
        <c:axId val="234245359"/>
      </c:barChart>
      <c:catAx>
        <c:axId val="667918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245359"/>
        <c:crosses val="autoZero"/>
        <c:auto val="1"/>
        <c:lblAlgn val="ctr"/>
        <c:lblOffset val="100"/>
        <c:noMultiLvlLbl val="0"/>
      </c:catAx>
      <c:valAx>
        <c:axId val="23424535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67918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[employee_data^.xlsx]YEAR VS HIRE TREND!PivotTable3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a:t>
            </a:r>
            <a:r>
              <a:rPr lang="en-US" baseline="0"/>
              <a:t> VS HIRE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 VS HIRE TREND'!$B$3</c:f>
              <c:strCache>
                <c:ptCount val="1"/>
                <c:pt idx="0">
                  <c:v>Total</c:v>
                </c:pt>
              </c:strCache>
            </c:strRef>
          </c:tx>
          <c:spPr>
            <a:ln w="28575" cap="rnd">
              <a:solidFill>
                <a:schemeClr val="accent1"/>
              </a:solidFill>
              <a:round/>
            </a:ln>
            <a:effectLst/>
          </c:spPr>
          <c:marker>
            <c:symbol val="none"/>
          </c:marker>
          <c:cat>
            <c:strRef>
              <c:f>'YEAR VS HIRE TREND'!$A$4:$A$60</c:f>
              <c:strCache>
                <c:ptCount val="56"/>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pt idx="52">
                  <c:v>2022</c:v>
                </c:pt>
                <c:pt idx="53">
                  <c:v>2023</c:v>
                </c:pt>
                <c:pt idx="54">
                  <c:v>2024</c:v>
                </c:pt>
                <c:pt idx="55">
                  <c:v>2025</c:v>
                </c:pt>
              </c:strCache>
            </c:strRef>
          </c:cat>
          <c:val>
            <c:numRef>
              <c:f>'YEAR VS HIRE TREND'!$B$4:$B$60</c:f>
              <c:numCache>
                <c:formatCode>General</c:formatCode>
                <c:ptCount val="56"/>
                <c:pt idx="0">
                  <c:v>8</c:v>
                </c:pt>
                <c:pt idx="1">
                  <c:v>7</c:v>
                </c:pt>
                <c:pt idx="2">
                  <c:v>9</c:v>
                </c:pt>
                <c:pt idx="3">
                  <c:v>12</c:v>
                </c:pt>
                <c:pt idx="4">
                  <c:v>12</c:v>
                </c:pt>
                <c:pt idx="5">
                  <c:v>8</c:v>
                </c:pt>
                <c:pt idx="6">
                  <c:v>14</c:v>
                </c:pt>
                <c:pt idx="7">
                  <c:v>5</c:v>
                </c:pt>
                <c:pt idx="8">
                  <c:v>8</c:v>
                </c:pt>
                <c:pt idx="9">
                  <c:v>8</c:v>
                </c:pt>
                <c:pt idx="10">
                  <c:v>9</c:v>
                </c:pt>
                <c:pt idx="11">
                  <c:v>11</c:v>
                </c:pt>
                <c:pt idx="12">
                  <c:v>7</c:v>
                </c:pt>
                <c:pt idx="13">
                  <c:v>13</c:v>
                </c:pt>
                <c:pt idx="14">
                  <c:v>11</c:v>
                </c:pt>
                <c:pt idx="15">
                  <c:v>8</c:v>
                </c:pt>
                <c:pt idx="16">
                  <c:v>5</c:v>
                </c:pt>
                <c:pt idx="17">
                  <c:v>9</c:v>
                </c:pt>
                <c:pt idx="18">
                  <c:v>7</c:v>
                </c:pt>
                <c:pt idx="19">
                  <c:v>8</c:v>
                </c:pt>
                <c:pt idx="20">
                  <c:v>6</c:v>
                </c:pt>
                <c:pt idx="21">
                  <c:v>11</c:v>
                </c:pt>
                <c:pt idx="22">
                  <c:v>9</c:v>
                </c:pt>
                <c:pt idx="23">
                  <c:v>6</c:v>
                </c:pt>
                <c:pt idx="24">
                  <c:v>10</c:v>
                </c:pt>
                <c:pt idx="25">
                  <c:v>4</c:v>
                </c:pt>
                <c:pt idx="26">
                  <c:v>9</c:v>
                </c:pt>
                <c:pt idx="27">
                  <c:v>12</c:v>
                </c:pt>
                <c:pt idx="28">
                  <c:v>10</c:v>
                </c:pt>
                <c:pt idx="29">
                  <c:v>8</c:v>
                </c:pt>
                <c:pt idx="30">
                  <c:v>7</c:v>
                </c:pt>
                <c:pt idx="31">
                  <c:v>8</c:v>
                </c:pt>
                <c:pt idx="32">
                  <c:v>9</c:v>
                </c:pt>
                <c:pt idx="33">
                  <c:v>9</c:v>
                </c:pt>
                <c:pt idx="34">
                  <c:v>11</c:v>
                </c:pt>
                <c:pt idx="35">
                  <c:v>11</c:v>
                </c:pt>
                <c:pt idx="36">
                  <c:v>14</c:v>
                </c:pt>
                <c:pt idx="37">
                  <c:v>8</c:v>
                </c:pt>
                <c:pt idx="38">
                  <c:v>12</c:v>
                </c:pt>
                <c:pt idx="39">
                  <c:v>11</c:v>
                </c:pt>
                <c:pt idx="40">
                  <c:v>9</c:v>
                </c:pt>
                <c:pt idx="41">
                  <c:v>7</c:v>
                </c:pt>
                <c:pt idx="42">
                  <c:v>11</c:v>
                </c:pt>
                <c:pt idx="43">
                  <c:v>9</c:v>
                </c:pt>
                <c:pt idx="44">
                  <c:v>10</c:v>
                </c:pt>
                <c:pt idx="45">
                  <c:v>5</c:v>
                </c:pt>
                <c:pt idx="46">
                  <c:v>7</c:v>
                </c:pt>
                <c:pt idx="47">
                  <c:v>11</c:v>
                </c:pt>
                <c:pt idx="48">
                  <c:v>15</c:v>
                </c:pt>
                <c:pt idx="49">
                  <c:v>5</c:v>
                </c:pt>
                <c:pt idx="50">
                  <c:v>10</c:v>
                </c:pt>
                <c:pt idx="51">
                  <c:v>7</c:v>
                </c:pt>
                <c:pt idx="52">
                  <c:v>12</c:v>
                </c:pt>
                <c:pt idx="53">
                  <c:v>9</c:v>
                </c:pt>
                <c:pt idx="54">
                  <c:v>3</c:v>
                </c:pt>
                <c:pt idx="55">
                  <c:v>6</c:v>
                </c:pt>
              </c:numCache>
            </c:numRef>
          </c:val>
          <c:smooth val="0"/>
          <c:extLst>
            <c:ext xmlns:c16="http://schemas.microsoft.com/office/drawing/2014/chart" uri="{C3380CC4-5D6E-409C-BE32-E72D297353CC}">
              <c16:uniqueId val="{00000000-8324-48C4-A11B-9837CF7CFF02}"/>
            </c:ext>
          </c:extLst>
        </c:ser>
        <c:dLbls>
          <c:showLegendKey val="0"/>
          <c:showVal val="0"/>
          <c:showCatName val="0"/>
          <c:showSerName val="0"/>
          <c:showPercent val="0"/>
          <c:showBubbleSize val="0"/>
        </c:dLbls>
        <c:smooth val="0"/>
        <c:axId val="761248735"/>
        <c:axId val="234215599"/>
      </c:lineChart>
      <c:catAx>
        <c:axId val="761248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215599"/>
        <c:crosses val="autoZero"/>
        <c:auto val="1"/>
        <c:lblAlgn val="ctr"/>
        <c:lblOffset val="100"/>
        <c:noMultiLvlLbl val="0"/>
      </c:catAx>
      <c:valAx>
        <c:axId val="234215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248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[employee_data^.xlsx]SALARY DISTRIBUTION!PivotTable18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 DISTRIBUTION</a:t>
            </a:r>
          </a:p>
        </c:rich>
      </c:tx>
      <c:layout>
        <c:manualLayout>
          <c:xMode val="edge"/>
          <c:yMode val="edge"/>
          <c:x val="0.29093744531933508"/>
          <c:y val="0.110090405365995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'SALARY DISTRIBUTION'!$B$3</c:f>
              <c:strCache>
                <c:ptCount val="1"/>
                <c:pt idx="0">
                  <c:v>Total</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'SALARY DISTRIBUTION'!$A$4:$A$9</c:f>
              <c:strCache>
                <c:ptCount val="5"/>
                <c:pt idx="0">
                  <c:v>0-50K</c:v>
                </c:pt>
                <c:pt idx="1">
                  <c:v>50K-1L</c:v>
                </c:pt>
                <c:pt idx="2">
                  <c:v>1L-1.5L</c:v>
                </c:pt>
                <c:pt idx="3">
                  <c:v>1.5-2L</c:v>
                </c:pt>
                <c:pt idx="4">
                  <c:v>2L+</c:v>
                </c:pt>
              </c:strCache>
            </c:strRef>
          </c:cat>
          <c:val>
            <c:numRef>
              <c:f>'SALARY DISTRIBUTION'!$B$4:$B$9</c:f>
              <c:numCache>
                <c:formatCode>General</c:formatCode>
                <c:ptCount val="5"/>
                <c:pt idx="0">
                  <c:v>1</c:v>
                </c:pt>
                <c:pt idx="1">
                  <c:v>47</c:v>
                </c:pt>
                <c:pt idx="2">
                  <c:v>130</c:v>
                </c:pt>
                <c:pt idx="3">
                  <c:v>167</c:v>
                </c:pt>
                <c:pt idx="4">
                  <c:v>155</c:v>
                </c:pt>
              </c:numCache>
            </c:numRef>
          </c:val>
          <c:extLst>
            <c:ext xmlns:c16="http://schemas.microsoft.com/office/drawing/2014/chart" uri="{C3380CC4-5D6E-409C-BE32-E72D297353CC}">
              <c16:uniqueId val="{00000000-BCEB-413E-95DC-0A6B18171721}"/>
            </c:ext>
          </c:extLst>
        </c:ser>
        <c:dLbls>
          <c:showLegendKey val="0"/>
          <c:showVal val="1"/>
          <c:showCatName val="0"/>
          <c:showSerName val="0"/>
          <c:showPercent val="0"/>
          <c:showBubbleSize val="0"/>
        </c:dLbls>
        <c:gapWidth val="219"/>
        <c:axId val="826393935"/>
        <c:axId val="835542831"/>
      </c:barChart>
      <c:catAx>
        <c:axId val="826393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542831"/>
        <c:crosses val="autoZero"/>
        <c:auto val="1"/>
        <c:lblAlgn val="ctr"/>
        <c:lblOffset val="100"/>
        <c:noMultiLvlLbl val="0"/>
      </c:catAx>
      <c:valAx>
        <c:axId val="835542831"/>
        <c:scaling>
          <c:orientation val="minMax"/>
        </c:scaling>
        <c:delete val="1"/>
        <c:axPos val="b"/>
        <c:numFmt formatCode="General" sourceLinked="1"/>
        <c:majorTickMark val="none"/>
        <c:minorTickMark val="none"/>
        <c:tickLblPos val="nextTo"/>
        <c:crossAx val="826393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[employee_data^.xlsx]AGE GROUP DISTRIBUTION!PivotTable8</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GROUP DISTRIBUTION</a:t>
            </a:r>
            <a:endParaRPr lang="en-US"/>
          </a:p>
        </c:rich>
      </c:tx>
      <c:layout>
        <c:manualLayout>
          <c:xMode val="edge"/>
          <c:yMode val="edge"/>
          <c:x val="0.23115966754155731"/>
          <c:y val="7.87037037037037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75000"/>
            </a:schemeClr>
          </a:solidFill>
          <a:ln w="19050">
            <a:solidFill>
              <a:schemeClr val="lt1"/>
            </a:solidFill>
          </a:ln>
          <a:effectLst/>
        </c:spPr>
      </c:pivotFmt>
      <c:pivotFmt>
        <c:idx val="2"/>
        <c:spPr>
          <a:solidFill>
            <a:schemeClr val="tx2">
              <a:lumMod val="25000"/>
              <a:lumOff val="75000"/>
            </a:schemeClr>
          </a:solidFill>
          <a:ln w="19050">
            <a:solidFill>
              <a:schemeClr val="lt1"/>
            </a:solidFill>
          </a:ln>
          <a:effectLst/>
        </c:spPr>
      </c:pivotFmt>
      <c:pivotFmt>
        <c:idx val="3"/>
        <c:spPr>
          <a:solidFill>
            <a:schemeClr val="accent3">
              <a:lumMod val="40000"/>
              <a:lumOff val="60000"/>
            </a:schemeClr>
          </a:solidFill>
          <a:ln w="19050">
            <a:solidFill>
              <a:schemeClr val="lt1"/>
            </a:solidFill>
          </a:ln>
          <a:effectLst/>
        </c:spPr>
      </c:pivotFmt>
      <c:pivotFmt>
        <c:idx val="4"/>
        <c:spPr>
          <a:solidFill>
            <a:schemeClr val="accent5">
              <a:lumMod val="20000"/>
              <a:lumOff val="80000"/>
            </a:schemeClr>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25000"/>
              <a:lumOff val="75000"/>
            </a:schemeClr>
          </a:solidFill>
          <a:ln w="19050">
            <a:solidFill>
              <a:schemeClr val="lt1"/>
            </a:solidFill>
          </a:ln>
          <a:effectLst/>
        </c:spPr>
      </c:pivotFmt>
      <c:pivotFmt>
        <c:idx val="7"/>
        <c:spPr>
          <a:solidFill>
            <a:schemeClr val="accent3">
              <a:lumMod val="40000"/>
              <a:lumOff val="60000"/>
            </a:schemeClr>
          </a:solidFill>
          <a:ln w="19050">
            <a:solidFill>
              <a:schemeClr val="lt1"/>
            </a:solidFill>
          </a:ln>
          <a:effectLst/>
        </c:spPr>
      </c:pivotFmt>
      <c:pivotFmt>
        <c:idx val="8"/>
        <c:spPr>
          <a:solidFill>
            <a:schemeClr val="accent5">
              <a:lumMod val="20000"/>
              <a:lumOff val="80000"/>
            </a:schemeClr>
          </a:solidFill>
          <a:ln w="19050">
            <a:solidFill>
              <a:schemeClr val="lt1"/>
            </a:solidFill>
          </a:ln>
          <a:effectLst/>
        </c:spPr>
      </c:pivotFmt>
      <c:pivotFmt>
        <c:idx val="9"/>
        <c:spPr>
          <a:solidFill>
            <a:schemeClr val="bg2">
              <a:lumMod val="75000"/>
            </a:schemeClr>
          </a:solidFill>
          <a:ln w="19050">
            <a:solidFill>
              <a:schemeClr val="lt1"/>
            </a:solidFill>
          </a:ln>
          <a:effectLst/>
        </c:spPr>
      </c:pivotFmt>
      <c:pivotFmt>
        <c:idx val="1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2">
              <a:lumMod val="25000"/>
              <a:lumOff val="75000"/>
            </a:schemeClr>
          </a:solidFill>
          <a:ln w="19050">
            <a:solidFill>
              <a:schemeClr val="lt1"/>
            </a:solidFill>
          </a:ln>
          <a:effectLst/>
        </c:spPr>
      </c:pivotFmt>
      <c:pivotFmt>
        <c:idx val="12"/>
        <c:spPr>
          <a:solidFill>
            <a:schemeClr val="accent3">
              <a:lumMod val="40000"/>
              <a:lumOff val="60000"/>
            </a:schemeClr>
          </a:solidFill>
          <a:ln w="19050">
            <a:solidFill>
              <a:schemeClr val="lt1"/>
            </a:solidFill>
          </a:ln>
          <a:effectLst/>
        </c:spPr>
      </c:pivotFmt>
      <c:pivotFmt>
        <c:idx val="13"/>
        <c:spPr>
          <a:solidFill>
            <a:schemeClr val="accent5">
              <a:lumMod val="20000"/>
              <a:lumOff val="80000"/>
            </a:schemeClr>
          </a:solidFill>
          <a:ln w="19050">
            <a:solidFill>
              <a:schemeClr val="lt1"/>
            </a:solidFill>
          </a:ln>
          <a:effectLst/>
        </c:spPr>
      </c:pivotFmt>
      <c:pivotFmt>
        <c:idx val="14"/>
        <c:spPr>
          <a:solidFill>
            <a:schemeClr val="bg2">
              <a:lumMod val="75000"/>
            </a:schemeClr>
          </a:solidFill>
          <a:ln w="19050">
            <a:solidFill>
              <a:schemeClr val="lt1"/>
            </a:solidFill>
          </a:ln>
          <a:effectLst/>
        </c:spPr>
      </c:pivotFmt>
    </c:pivotFmts>
    <c:plotArea>
      <c:layout/>
      <c:pieChart>
        <c:varyColors val="1"/>
        <c:ser>
          <c:idx val="0"/>
          <c:order val="0"/>
          <c:tx>
            <c:strRef>
              <c:f>'AGE GROUP DISTRIBUTION'!$B$3</c:f>
              <c:strCache>
                <c:ptCount val="1"/>
                <c:pt idx="0">
                  <c:v>Total</c:v>
                </c:pt>
              </c:strCache>
            </c:strRef>
          </c:tx>
          <c:dPt>
            <c:idx val="0"/>
            <c:bubble3D val="0"/>
            <c:spPr>
              <a:solidFill>
                <a:schemeClr val="tx2">
                  <a:lumMod val="25000"/>
                  <a:lumOff val="75000"/>
                </a:schemeClr>
              </a:solidFill>
              <a:ln w="19050">
                <a:solidFill>
                  <a:schemeClr val="lt1"/>
                </a:solidFill>
              </a:ln>
              <a:effectLst/>
            </c:spPr>
            <c:extLst>
              <c:ext xmlns:c16="http://schemas.microsoft.com/office/drawing/2014/chart" uri="{C3380CC4-5D6E-409C-BE32-E72D297353CC}">
                <c16:uniqueId val="{00000001-C090-4689-BAC2-0017187BB447}"/>
              </c:ext>
            </c:extLst>
          </c:dPt>
          <c:dPt>
            <c:idx val="1"/>
            <c:bubble3D val="0"/>
            <c:spPr>
              <a:solidFill>
                <a:schemeClr val="accent3">
                  <a:lumMod val="40000"/>
                  <a:lumOff val="60000"/>
                </a:schemeClr>
              </a:solidFill>
              <a:ln w="19050">
                <a:solidFill>
                  <a:schemeClr val="lt1"/>
                </a:solidFill>
              </a:ln>
              <a:effectLst/>
            </c:spPr>
            <c:extLst>
              <c:ext xmlns:c16="http://schemas.microsoft.com/office/drawing/2014/chart" uri="{C3380CC4-5D6E-409C-BE32-E72D297353CC}">
                <c16:uniqueId val="{00000003-C090-4689-BAC2-0017187BB447}"/>
              </c:ext>
            </c:extLst>
          </c:dPt>
          <c:dPt>
            <c:idx val="2"/>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5-C090-4689-BAC2-0017187BB447}"/>
              </c:ext>
            </c:extLst>
          </c:dPt>
          <c:dPt>
            <c:idx val="3"/>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7-C090-4689-BAC2-0017187BB44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'AGE GROUP DISTRIBUTION'!$A$4:$A$8</c:f>
              <c:strCache>
                <c:ptCount val="4"/>
                <c:pt idx="0">
                  <c:v>20-29</c:v>
                </c:pt>
                <c:pt idx="1">
                  <c:v>30-39</c:v>
                </c:pt>
                <c:pt idx="2">
                  <c:v>40-49</c:v>
                </c:pt>
                <c:pt idx="3">
                  <c:v>50+</c:v>
                </c:pt>
              </c:strCache>
            </c:strRef>
          </c:cat>
          <c:val>
            <c:numRef>
              <c:f>'AGE GROUP DISTRIBUTION'!$B$4:$B$8</c:f>
              <c:numCache>
                <c:formatCode>General</c:formatCode>
                <c:ptCount val="4"/>
                <c:pt idx="0">
                  <c:v>77</c:v>
                </c:pt>
                <c:pt idx="1">
                  <c:v>106</c:v>
                </c:pt>
                <c:pt idx="2">
                  <c:v>147</c:v>
                </c:pt>
                <c:pt idx="3">
                  <c:v>170</c:v>
                </c:pt>
              </c:numCache>
            </c:numRef>
          </c:val>
          <c:extLst>
            <c:ext xmlns:c16="http://schemas.microsoft.com/office/drawing/2014/chart" uri="{C3380CC4-5D6E-409C-BE32-E72D297353CC}">
              <c16:uniqueId val="{00000008-C090-4689-BAC2-0017187BB44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[employee_data^.xlsx]EMPLOYEE DSTRBTION BY EXP&amp;DEPT !PivotTable21</c:name>
    <c:fmtId val="2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EMPLOYEE</a:t>
            </a:r>
            <a:r>
              <a:rPr lang="en-IN" baseline="0"/>
              <a:t> DISTRIBUTION BY EXP &amp; DEPT</a:t>
            </a:r>
            <a:endParaRPr lang="en-IN"/>
          </a:p>
        </c:rich>
      </c:tx>
      <c:layout>
        <c:manualLayout>
          <c:xMode val="edge"/>
          <c:yMode val="edge"/>
          <c:x val="0.11629847713869391"/>
          <c:y val="3.240740740740740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'EMPLOYEE DSTRBTION BY EXP&amp;DEPT '!$B$3:$B$4</c:f>
              <c:strCache>
                <c:ptCount val="1"/>
                <c:pt idx="0">
                  <c:v>7-15 YEARS</c:v>
                </c:pt>
              </c:strCache>
            </c:strRef>
          </c:tx>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c:spPr>
          <c:invertIfNegative val="0"/>
          <c:cat>
            <c:strRef>
              <c:f>'EMPLOYEE DSTRBTION BY EXP&amp;DEPT '!$A$5:$A$10</c:f>
              <c:strCache>
                <c:ptCount val="5"/>
                <c:pt idx="0">
                  <c:v>Finance</c:v>
                </c:pt>
                <c:pt idx="1">
                  <c:v>HR</c:v>
                </c:pt>
                <c:pt idx="2">
                  <c:v>IT</c:v>
                </c:pt>
                <c:pt idx="3">
                  <c:v>Marketing</c:v>
                </c:pt>
                <c:pt idx="4">
                  <c:v>Sales</c:v>
                </c:pt>
              </c:strCache>
            </c:strRef>
          </c:cat>
          <c:val>
            <c:numRef>
              <c:f>'EMPLOYEE DSTRBTION BY EXP&amp;DEPT '!$B$5:$B$10</c:f>
              <c:numCache>
                <c:formatCode>General</c:formatCode>
                <c:ptCount val="5"/>
                <c:pt idx="0">
                  <c:v>14</c:v>
                </c:pt>
                <c:pt idx="1">
                  <c:v>15</c:v>
                </c:pt>
                <c:pt idx="2">
                  <c:v>21</c:v>
                </c:pt>
                <c:pt idx="3">
                  <c:v>15</c:v>
                </c:pt>
                <c:pt idx="4">
                  <c:v>22</c:v>
                </c:pt>
              </c:numCache>
            </c:numRef>
          </c:val>
          <c:extLst>
            <c:ext xmlns:c16="http://schemas.microsoft.com/office/drawing/2014/chart" uri="{C3380CC4-5D6E-409C-BE32-E72D297353CC}">
              <c16:uniqueId val="{00000000-23E0-4CD2-98D0-5EE02D3A1858}"/>
            </c:ext>
          </c:extLst>
        </c:ser>
        <c:ser>
          <c:idx val="1"/>
          <c:order val="1"/>
          <c:tx>
            <c:strRef>
              <c:f>'EMPLOYEE DSTRBTION BY EXP&amp;DEPT '!$C$3:$C$4</c:f>
              <c:strCache>
                <c:ptCount val="1"/>
                <c:pt idx="0">
                  <c:v>15-23  YEARS</c:v>
                </c:pt>
              </c:strCache>
            </c:strRef>
          </c:tx>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c:spPr>
          <c:invertIfNegative val="0"/>
          <c:cat>
            <c:strRef>
              <c:f>'EMPLOYEE DSTRBTION BY EXP&amp;DEPT '!$A$5:$A$10</c:f>
              <c:strCache>
                <c:ptCount val="5"/>
                <c:pt idx="0">
                  <c:v>Finance</c:v>
                </c:pt>
                <c:pt idx="1">
                  <c:v>HR</c:v>
                </c:pt>
                <c:pt idx="2">
                  <c:v>IT</c:v>
                </c:pt>
                <c:pt idx="3">
                  <c:v>Marketing</c:v>
                </c:pt>
                <c:pt idx="4">
                  <c:v>Sales</c:v>
                </c:pt>
              </c:strCache>
            </c:strRef>
          </c:cat>
          <c:val>
            <c:numRef>
              <c:f>'EMPLOYEE DSTRBTION BY EXP&amp;DEPT '!$C$5:$C$10</c:f>
              <c:numCache>
                <c:formatCode>General</c:formatCode>
                <c:ptCount val="5"/>
                <c:pt idx="0">
                  <c:v>48</c:v>
                </c:pt>
                <c:pt idx="1">
                  <c:v>32</c:v>
                </c:pt>
                <c:pt idx="2">
                  <c:v>33</c:v>
                </c:pt>
                <c:pt idx="3">
                  <c:v>38</c:v>
                </c:pt>
                <c:pt idx="4">
                  <c:v>40</c:v>
                </c:pt>
              </c:numCache>
            </c:numRef>
          </c:val>
          <c:extLst>
            <c:ext xmlns:c16="http://schemas.microsoft.com/office/drawing/2014/chart" uri="{C3380CC4-5D6E-409C-BE32-E72D297353CC}">
              <c16:uniqueId val="{00000001-23E0-4CD2-98D0-5EE02D3A1858}"/>
            </c:ext>
          </c:extLst>
        </c:ser>
        <c:ser>
          <c:idx val="2"/>
          <c:order val="2"/>
          <c:tx>
            <c:strRef>
              <c:f>'EMPLOYEE DSTRBTION BY EXP&amp;DEPT '!$D$3:$D$4</c:f>
              <c:strCache>
                <c:ptCount val="1"/>
                <c:pt idx="0">
                  <c:v>23-30 YEARS</c:v>
                </c:pt>
              </c:strCache>
            </c:strRef>
          </c:tx>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c:spPr>
          <c:invertIfNegative val="0"/>
          <c:cat>
            <c:strRef>
              <c:f>'EMPLOYEE DSTRBTION BY EXP&amp;DEPT '!$A$5:$A$10</c:f>
              <c:strCache>
                <c:ptCount val="5"/>
                <c:pt idx="0">
                  <c:v>Finance</c:v>
                </c:pt>
                <c:pt idx="1">
                  <c:v>HR</c:v>
                </c:pt>
                <c:pt idx="2">
                  <c:v>IT</c:v>
                </c:pt>
                <c:pt idx="3">
                  <c:v>Marketing</c:v>
                </c:pt>
                <c:pt idx="4">
                  <c:v>Sales</c:v>
                </c:pt>
              </c:strCache>
            </c:strRef>
          </c:cat>
          <c:val>
            <c:numRef>
              <c:f>'EMPLOYEE DSTRBTION BY EXP&amp;DEPT '!$D$5:$D$10</c:f>
              <c:numCache>
                <c:formatCode>General</c:formatCode>
                <c:ptCount val="5"/>
                <c:pt idx="0">
                  <c:v>34</c:v>
                </c:pt>
                <c:pt idx="1">
                  <c:v>31</c:v>
                </c:pt>
                <c:pt idx="2">
                  <c:v>40</c:v>
                </c:pt>
                <c:pt idx="3">
                  <c:v>26</c:v>
                </c:pt>
                <c:pt idx="4">
                  <c:v>39</c:v>
                </c:pt>
              </c:numCache>
            </c:numRef>
          </c:val>
          <c:extLst>
            <c:ext xmlns:c16="http://schemas.microsoft.com/office/drawing/2014/chart" uri="{C3380CC4-5D6E-409C-BE32-E72D297353CC}">
              <c16:uniqueId val="{00000002-23E0-4CD2-98D0-5EE02D3A1858}"/>
            </c:ext>
          </c:extLst>
        </c:ser>
        <c:ser>
          <c:idx val="3"/>
          <c:order val="3"/>
          <c:tx>
            <c:strRef>
              <c:f>'EMPLOYEE DSTRBTION BY EXP&amp;DEPT '!$E$3:$E$4</c:f>
              <c:strCache>
                <c:ptCount val="1"/>
                <c:pt idx="0">
                  <c:v>30+ YEARS</c:v>
                </c:pt>
              </c:strCache>
            </c:strRef>
          </c:tx>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c:spPr>
          <c:invertIfNegative val="0"/>
          <c:cat>
            <c:strRef>
              <c:f>'EMPLOYEE DSTRBTION BY EXP&amp;DEPT '!$A$5:$A$10</c:f>
              <c:strCache>
                <c:ptCount val="5"/>
                <c:pt idx="0">
                  <c:v>Finance</c:v>
                </c:pt>
                <c:pt idx="1">
                  <c:v>HR</c:v>
                </c:pt>
                <c:pt idx="2">
                  <c:v>IT</c:v>
                </c:pt>
                <c:pt idx="3">
                  <c:v>Marketing</c:v>
                </c:pt>
                <c:pt idx="4">
                  <c:v>Sales</c:v>
                </c:pt>
              </c:strCache>
            </c:strRef>
          </c:cat>
          <c:val>
            <c:numRef>
              <c:f>'EMPLOYEE DSTRBTION BY EXP&amp;DEPT '!$E$5:$E$10</c:f>
              <c:numCache>
                <c:formatCode>General</c:formatCode>
                <c:ptCount val="5"/>
                <c:pt idx="0">
                  <c:v>6</c:v>
                </c:pt>
                <c:pt idx="1">
                  <c:v>9</c:v>
                </c:pt>
                <c:pt idx="2">
                  <c:v>16</c:v>
                </c:pt>
                <c:pt idx="3">
                  <c:v>16</c:v>
                </c:pt>
                <c:pt idx="4">
                  <c:v>5</c:v>
                </c:pt>
              </c:numCache>
            </c:numRef>
          </c:val>
          <c:extLst>
            <c:ext xmlns:c16="http://schemas.microsoft.com/office/drawing/2014/chart" uri="{C3380CC4-5D6E-409C-BE32-E72D297353CC}">
              <c16:uniqueId val="{00000003-23E0-4CD2-98D0-5EE02D3A1858}"/>
            </c:ext>
          </c:extLst>
        </c:ser>
        <c:dLbls>
          <c:showLegendKey val="0"/>
          <c:showVal val="0"/>
          <c:showCatName val="0"/>
          <c:showSerName val="0"/>
          <c:showPercent val="0"/>
          <c:showBubbleSize val="0"/>
        </c:dLbls>
        <c:gapWidth val="100"/>
        <c:overlap val="-24"/>
        <c:axId val="824827407"/>
        <c:axId val="835560591"/>
      </c:barChart>
      <c:catAx>
        <c:axId val="82482740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35560591"/>
        <c:crosses val="autoZero"/>
        <c:auto val="1"/>
        <c:lblAlgn val="ctr"/>
        <c:lblOffset val="100"/>
        <c:noMultiLvlLbl val="0"/>
      </c:catAx>
      <c:valAx>
        <c:axId val="83556059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24827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[employee_data^.xlsx]AVG SALARY - MANAGER VS NON MAN!PivotTable1</c:name>
    <c:fmtId val="16"/>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AVG</a:t>
            </a:r>
            <a:r>
              <a:rPr lang="en-IN" baseline="0"/>
              <a:t> SALARY - MANAGER VS NON MANAGER</a:t>
            </a:r>
            <a:endParaRPr lang="en-IN"/>
          </a:p>
        </c:rich>
      </c:tx>
      <c:layout>
        <c:manualLayout>
          <c:xMode val="edge"/>
          <c:yMode val="edge"/>
          <c:x val="0.13693044619422576"/>
          <c:y val="2.7777777777777776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SALARY - MANAGER VS NON MAN'!$B$3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'AVG SALARY - MANAGER VS NON MAN'!$A$4:$A$6</c:f>
              <c:strCache>
                <c:ptCount val="2"/>
                <c:pt idx="0">
                  <c:v>FALSE</c:v>
                </c:pt>
                <c:pt idx="1">
                  <c:v>TRUE</c:v>
                </c:pt>
              </c:strCache>
            </c:strRef>
          </c:cat>
          <c:val>
            <c:numRef>
              <c:f>'AVG SALARY - MANAGER VS NON MAN'!$B$4:$B$6</c:f>
              <c:numCache>
                <c:formatCode>0.00</c:formatCode>
                <c:ptCount val="2"/>
                <c:pt idx="0">
                  <c:v>169358.1851851852</c:v>
                </c:pt>
                <c:pt idx="1">
                  <c:v>171841.03891050583</c:v>
                </c:pt>
              </c:numCache>
            </c:numRef>
          </c:val>
          <c:extLst>
            <c:ext xmlns:c16="http://schemas.microsoft.com/office/drawing/2014/chart" uri="{C3380CC4-5D6E-409C-BE32-E72D297353CC}">
              <c16:uniqueId val="{00000000-F454-44B6-93D2-18C2D893903A}"/>
            </c:ext>
          </c:extLst>
        </c:ser>
        <c:dLbls>
          <c:dLblPos val="outEnd"/>
          <c:showLegendKey val="0"/>
          <c:showVal val="1"/>
          <c:showCatName val="0"/>
          <c:showSerName val="0"/>
          <c:showPercent val="0"/>
          <c:showBubbleSize val="0"/>
        </c:dLbls>
        <c:gapWidth val="355"/>
        <c:axId val="1513119279"/>
        <c:axId val="1518258799"/>
      </c:barChart>
      <c:catAx>
        <c:axId val="15131192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258799"/>
        <c:crosses val="autoZero"/>
        <c:auto val="1"/>
        <c:lblAlgn val="ctr"/>
        <c:lblOffset val="100"/>
        <c:noMultiLvlLbl val="0"/>
      </c:catAx>
      <c:valAx>
        <c:axId val="1518258799"/>
        <c:scaling>
          <c:orientation val="minMax"/>
        </c:scaling>
        <c:delete val="1"/>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0.00" sourceLinked="1"/>
        <c:majorTickMark val="none"/>
        <c:minorTickMark val="none"/>
        <c:tickLblPos val="nextTo"/>
        <c:crossAx val="1513119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[employee_data^.xlsx]HIGHEST AVG SALARY BY DEPT!PivotTable1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HIGHEST</a:t>
            </a:r>
            <a:r>
              <a:rPr lang="en-IN" baseline="0"/>
              <a:t> AVG SALARY BY DEPT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62158956109134E-2"/>
          <c:y val="0.1721912720519963"/>
          <c:w val="0.93475682087781731"/>
          <c:h val="0.72048157977467298"/>
        </c:manualLayout>
      </c:layout>
      <c:barChart>
        <c:barDir val="col"/>
        <c:grouping val="clustered"/>
        <c:varyColors val="0"/>
        <c:ser>
          <c:idx val="0"/>
          <c:order val="0"/>
          <c:tx>
            <c:strRef>
              <c:f>'HIGHEST AVG SALARY BY DEPT'!$B$3</c:f>
              <c:strCache>
                <c:ptCount val="1"/>
                <c:pt idx="0">
                  <c:v>Total</c:v>
                </c:pt>
              </c:strCache>
            </c:strRef>
          </c:tx>
          <c:spPr>
            <a:solidFill>
              <a:schemeClr val="bg2">
                <a:lumMod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'HIGHEST AVG SALARY BY DEPT'!$A$4:$A$9</c:f>
              <c:strCache>
                <c:ptCount val="5"/>
                <c:pt idx="0">
                  <c:v>Finance</c:v>
                </c:pt>
                <c:pt idx="1">
                  <c:v>HR</c:v>
                </c:pt>
                <c:pt idx="2">
                  <c:v>IT</c:v>
                </c:pt>
                <c:pt idx="3">
                  <c:v>Marketing</c:v>
                </c:pt>
                <c:pt idx="4">
                  <c:v>Sales</c:v>
                </c:pt>
              </c:strCache>
            </c:strRef>
          </c:cat>
          <c:val>
            <c:numRef>
              <c:f>'HIGHEST AVG SALARY BY DEPT'!$B$4:$B$9</c:f>
              <c:numCache>
                <c:formatCode>"₹"\ #,##0</c:formatCode>
                <c:ptCount val="5"/>
                <c:pt idx="0">
                  <c:v>167374.46078431373</c:v>
                </c:pt>
                <c:pt idx="1">
                  <c:v>172150.57471264369</c:v>
                </c:pt>
                <c:pt idx="2">
                  <c:v>172650.85454545455</c:v>
                </c:pt>
                <c:pt idx="3">
                  <c:v>177127.2</c:v>
                </c:pt>
                <c:pt idx="4">
                  <c:v>164615.21698113208</c:v>
                </c:pt>
              </c:numCache>
            </c:numRef>
          </c:val>
          <c:extLst>
            <c:ext xmlns:c16="http://schemas.microsoft.com/office/drawing/2014/chart" uri="{C3380CC4-5D6E-409C-BE32-E72D297353CC}">
              <c16:uniqueId val="{00000000-F59D-4826-AABD-BBF8275CDBAA}"/>
            </c:ext>
          </c:extLst>
        </c:ser>
        <c:dLbls>
          <c:dLblPos val="outEnd"/>
          <c:showLegendKey val="0"/>
          <c:showVal val="1"/>
          <c:showCatName val="0"/>
          <c:showSerName val="0"/>
          <c:showPercent val="0"/>
          <c:showBubbleSize val="0"/>
        </c:dLbls>
        <c:gapWidth val="219"/>
        <c:overlap val="-27"/>
        <c:axId val="378476991"/>
        <c:axId val="234209359"/>
      </c:barChart>
      <c:catAx>
        <c:axId val="3784769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209359"/>
        <c:crosses val="autoZero"/>
        <c:auto val="1"/>
        <c:lblAlgn val="ctr"/>
        <c:lblOffset val="100"/>
        <c:noMultiLvlLbl val="0"/>
      </c:catAx>
      <c:valAx>
        <c:axId val="234209359"/>
        <c:scaling>
          <c:orientation val="minMax"/>
        </c:scaling>
        <c:delete val="1"/>
        <c:axPos val="l"/>
        <c:numFmt formatCode="&quot;₹&quot;\ #,##0" sourceLinked="1"/>
        <c:majorTickMark val="out"/>
        <c:minorTickMark val="none"/>
        <c:tickLblPos val="nextTo"/>
        <c:crossAx val="378476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[employee_data^.xlsx]MANAGER VS NON MANAGER BY DEPT!PivotTable2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MANAGER VS NON MANAGER BY DEPT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1.6666666666666642E-2"/>
              <c:y val="-4.2437781360066642E-17"/>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8.3333333333333332E-3"/>
              <c:y val="-4.6296296296296719E-3"/>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1.6666666666666642E-2"/>
              <c:y val="-4.2437781360066642E-17"/>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8.3333333333333332E-3"/>
              <c:y val="-4.6296296296296719E-3"/>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1.6666666666666642E-2"/>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8.3333333333333332E-3"/>
              <c:y val="-4.62962962962967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hade val="76000"/>
            </a:schemeClr>
          </a:solidFill>
          <a:ln>
            <a:noFill/>
          </a:ln>
          <a:effectLst/>
        </c:spPr>
        <c:dLbl>
          <c:idx val="0"/>
          <c:layout>
            <c:manualLayout>
              <c:x val="1.6666666666666642E-2"/>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hade val="76000"/>
            </a:schemeClr>
          </a:solidFill>
          <a:ln>
            <a:noFill/>
          </a:ln>
          <a:effectLst/>
        </c:spPr>
        <c:dLbl>
          <c:idx val="0"/>
          <c:layout>
            <c:manualLayout>
              <c:x val="8.3333333333333332E-3"/>
              <c:y val="-4.62962962962967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hade val="76000"/>
            </a:schemeClr>
          </a:solidFill>
          <a:ln>
            <a:noFill/>
          </a:ln>
          <a:effectLst/>
        </c:spPr>
        <c:dLbl>
          <c:idx val="0"/>
          <c:layout>
            <c:manualLayout>
              <c:x val="1.6666666666666642E-2"/>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hade val="76000"/>
            </a:schemeClr>
          </a:solidFill>
          <a:ln>
            <a:noFill/>
          </a:ln>
          <a:effectLst/>
        </c:spPr>
        <c:dLbl>
          <c:idx val="0"/>
          <c:layout>
            <c:manualLayout>
              <c:x val="8.3333333333333332E-3"/>
              <c:y val="-4.62962962962967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'MANAGER VS NON MANAGER BY DEPT'!$B$3:$B$4</c:f>
              <c:strCache>
                <c:ptCount val="1"/>
                <c:pt idx="0">
                  <c:v>FALSE</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'MANAGER VS NON MANAGER BY DEPT'!$A$5:$A$10</c:f>
              <c:strCache>
                <c:ptCount val="5"/>
                <c:pt idx="0">
                  <c:v>Finance</c:v>
                </c:pt>
                <c:pt idx="1">
                  <c:v>HR</c:v>
                </c:pt>
                <c:pt idx="2">
                  <c:v>IT</c:v>
                </c:pt>
                <c:pt idx="3">
                  <c:v>Marketing</c:v>
                </c:pt>
                <c:pt idx="4">
                  <c:v>Sales</c:v>
                </c:pt>
              </c:strCache>
            </c:strRef>
          </c:cat>
          <c:val>
            <c:numRef>
              <c:f>'MANAGER VS NON MANAGER BY DEPT'!$B$5:$B$10</c:f>
              <c:numCache>
                <c:formatCode>General</c:formatCode>
                <c:ptCount val="5"/>
                <c:pt idx="0">
                  <c:v>57</c:v>
                </c:pt>
                <c:pt idx="1">
                  <c:v>41</c:v>
                </c:pt>
                <c:pt idx="2">
                  <c:v>51</c:v>
                </c:pt>
                <c:pt idx="3">
                  <c:v>48</c:v>
                </c:pt>
                <c:pt idx="4">
                  <c:v>46</c:v>
                </c:pt>
              </c:numCache>
            </c:numRef>
          </c:val>
          <c:extLst>
            <c:ext xmlns:c16="http://schemas.microsoft.com/office/drawing/2014/chart" uri="{C3380CC4-5D6E-409C-BE32-E72D297353CC}">
              <c16:uniqueId val="{00000000-72A1-417A-A51C-96F5B80581BF}"/>
            </c:ext>
          </c:extLst>
        </c:ser>
        <c:ser>
          <c:idx val="1"/>
          <c:order val="1"/>
          <c:tx>
            <c:strRef>
              <c:f>'MANAGER VS NON MANAGER BY DEPT'!$C$3:$C$4</c:f>
              <c:strCache>
                <c:ptCount val="1"/>
                <c:pt idx="0">
                  <c:v>TRUE</c:v>
                </c:pt>
              </c:strCache>
            </c:strRef>
          </c:tx>
          <c:spPr>
            <a:solidFill>
              <a:schemeClr val="accent1">
                <a:shade val="76000"/>
              </a:schemeClr>
            </a:solidFill>
            <a:ln>
              <a:noFill/>
            </a:ln>
            <a:effectLst/>
          </c:spPr>
          <c:invertIfNegative val="0"/>
          <c:dPt>
            <c:idx val="0"/>
            <c:invertIfNegative val="0"/>
            <c:bubble3D val="0"/>
            <c:spPr>
              <a:solidFill>
                <a:schemeClr val="accent1">
                  <a:shade val="76000"/>
                </a:schemeClr>
              </a:solidFill>
              <a:ln>
                <a:noFill/>
              </a:ln>
              <a:effectLst/>
            </c:spPr>
            <c:extLst>
              <c:ext xmlns:c16="http://schemas.microsoft.com/office/drawing/2014/chart" uri="{C3380CC4-5D6E-409C-BE32-E72D297353CC}">
                <c16:uniqueId val="{00000002-72A1-417A-A51C-96F5B80581BF}"/>
              </c:ext>
            </c:extLst>
          </c:dPt>
          <c:dPt>
            <c:idx val="3"/>
            <c:invertIfNegative val="0"/>
            <c:bubble3D val="0"/>
            <c:spPr>
              <a:solidFill>
                <a:schemeClr val="accent1">
                  <a:shade val="76000"/>
                </a:schemeClr>
              </a:solidFill>
              <a:ln>
                <a:noFill/>
              </a:ln>
              <a:effectLst/>
            </c:spPr>
            <c:extLst>
              <c:ext xmlns:c16="http://schemas.microsoft.com/office/drawing/2014/chart" uri="{C3380CC4-5D6E-409C-BE32-E72D297353CC}">
                <c16:uniqueId val="{00000004-72A1-417A-A51C-96F5B80581BF}"/>
              </c:ext>
            </c:extLst>
          </c:dPt>
          <c:dLbls>
            <c:dLbl>
              <c:idx val="0"/>
              <c:layout>
                <c:manualLayout>
                  <c:x val="1.6666666666666642E-2"/>
                  <c:y val="-4.2437781360066642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2A1-417A-A51C-96F5B80581BF}"/>
                </c:ext>
              </c:extLst>
            </c:dLbl>
            <c:dLbl>
              <c:idx val="3"/>
              <c:layout>
                <c:manualLayout>
                  <c:x val="8.3333333333333332E-3"/>
                  <c:y val="-4.629629629629671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2A1-417A-A51C-96F5B80581B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'MANAGER VS NON MANAGER BY DEPT'!$A$5:$A$10</c:f>
              <c:strCache>
                <c:ptCount val="5"/>
                <c:pt idx="0">
                  <c:v>Finance</c:v>
                </c:pt>
                <c:pt idx="1">
                  <c:v>HR</c:v>
                </c:pt>
                <c:pt idx="2">
                  <c:v>IT</c:v>
                </c:pt>
                <c:pt idx="3">
                  <c:v>Marketing</c:v>
                </c:pt>
                <c:pt idx="4">
                  <c:v>Sales</c:v>
                </c:pt>
              </c:strCache>
            </c:strRef>
          </c:cat>
          <c:val>
            <c:numRef>
              <c:f>'MANAGER VS NON MANAGER BY DEPT'!$C$5:$C$10</c:f>
              <c:numCache>
                <c:formatCode>General</c:formatCode>
                <c:ptCount val="5"/>
                <c:pt idx="0">
                  <c:v>45</c:v>
                </c:pt>
                <c:pt idx="1">
                  <c:v>46</c:v>
                </c:pt>
                <c:pt idx="2">
                  <c:v>59</c:v>
                </c:pt>
                <c:pt idx="3">
                  <c:v>47</c:v>
                </c:pt>
                <c:pt idx="4">
                  <c:v>60</c:v>
                </c:pt>
              </c:numCache>
            </c:numRef>
          </c:val>
          <c:extLst>
            <c:ext xmlns:c16="http://schemas.microsoft.com/office/drawing/2014/chart" uri="{C3380CC4-5D6E-409C-BE32-E72D297353CC}">
              <c16:uniqueId val="{00000005-72A1-417A-A51C-96F5B80581BF}"/>
            </c:ext>
          </c:extLst>
        </c:ser>
        <c:dLbls>
          <c:showLegendKey val="0"/>
          <c:showVal val="1"/>
          <c:showCatName val="0"/>
          <c:showSerName val="0"/>
          <c:showPercent val="0"/>
          <c:showBubbleSize val="0"/>
        </c:dLbls>
        <c:gapWidth val="219"/>
        <c:overlap val="-27"/>
        <c:axId val="667918591"/>
        <c:axId val="234245359"/>
      </c:barChart>
      <c:catAx>
        <c:axId val="667918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245359"/>
        <c:crosses val="autoZero"/>
        <c:auto val="1"/>
        <c:lblAlgn val="ctr"/>
        <c:lblOffset val="100"/>
        <c:noMultiLvlLbl val="0"/>
      </c:catAx>
      <c:valAx>
        <c:axId val="23424535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67918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[employee_data^.xlsx]AVG SALARY - MANAGER VS NON MAN!PivotTable1</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AVG</a:t>
            </a:r>
            <a:r>
              <a:rPr lang="en-IN" baseline="0"/>
              <a:t> SALARY - MANAGER VS NON MANAGER</a:t>
            </a:r>
            <a:endParaRPr lang="en-IN"/>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SALARY - MANAGER VS NON MAN'!$B$3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'AVG SALARY - MANAGER VS NON MAN'!$A$4:$A$6</c:f>
              <c:strCache>
                <c:ptCount val="2"/>
                <c:pt idx="0">
                  <c:v>FALSE</c:v>
                </c:pt>
                <c:pt idx="1">
                  <c:v>TRUE</c:v>
                </c:pt>
              </c:strCache>
            </c:strRef>
          </c:cat>
          <c:val>
            <c:numRef>
              <c:f>'AVG SALARY - MANAGER VS NON MAN'!$B$4:$B$6</c:f>
              <c:numCache>
                <c:formatCode>0.00</c:formatCode>
                <c:ptCount val="2"/>
                <c:pt idx="0">
                  <c:v>169358.1851851852</c:v>
                </c:pt>
                <c:pt idx="1">
                  <c:v>171841.03891050583</c:v>
                </c:pt>
              </c:numCache>
            </c:numRef>
          </c:val>
          <c:extLst>
            <c:ext xmlns:c16="http://schemas.microsoft.com/office/drawing/2014/chart" uri="{C3380CC4-5D6E-409C-BE32-E72D297353CC}">
              <c16:uniqueId val="{00000000-05F8-4714-B975-BE32BEBB29A1}"/>
            </c:ext>
          </c:extLst>
        </c:ser>
        <c:dLbls>
          <c:dLblPos val="outEnd"/>
          <c:showLegendKey val="0"/>
          <c:showVal val="1"/>
          <c:showCatName val="0"/>
          <c:showSerName val="0"/>
          <c:showPercent val="0"/>
          <c:showBubbleSize val="0"/>
        </c:dLbls>
        <c:gapWidth val="355"/>
        <c:axId val="1513119279"/>
        <c:axId val="1518258799"/>
      </c:barChart>
      <c:catAx>
        <c:axId val="15131192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258799"/>
        <c:crosses val="autoZero"/>
        <c:auto val="1"/>
        <c:lblAlgn val="ctr"/>
        <c:lblOffset val="100"/>
        <c:noMultiLvlLbl val="0"/>
      </c:catAx>
      <c:valAx>
        <c:axId val="1518258799"/>
        <c:scaling>
          <c:orientation val="minMax"/>
        </c:scaling>
        <c:delete val="1"/>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0.00" sourceLinked="1"/>
        <c:majorTickMark val="none"/>
        <c:minorTickMark val="none"/>
        <c:tickLblPos val="nextTo"/>
        <c:crossAx val="1513119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[employee_data^.xlsx]YEAR VS HIRE TREND!PivotTable3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a:t>
            </a:r>
            <a:r>
              <a:rPr lang="en-US" baseline="0"/>
              <a:t> VS HIRE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 VS HIRE TREND'!$B$3</c:f>
              <c:strCache>
                <c:ptCount val="1"/>
                <c:pt idx="0">
                  <c:v>Total</c:v>
                </c:pt>
              </c:strCache>
            </c:strRef>
          </c:tx>
          <c:spPr>
            <a:ln w="28575" cap="rnd">
              <a:solidFill>
                <a:schemeClr val="accent1"/>
              </a:solidFill>
              <a:round/>
            </a:ln>
            <a:effectLst/>
          </c:spPr>
          <c:marker>
            <c:symbol val="none"/>
          </c:marker>
          <c:cat>
            <c:strRef>
              <c:f>'YEAR VS HIRE TREND'!$A$4:$A$60</c:f>
              <c:strCache>
                <c:ptCount val="56"/>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pt idx="52">
                  <c:v>2022</c:v>
                </c:pt>
                <c:pt idx="53">
                  <c:v>2023</c:v>
                </c:pt>
                <c:pt idx="54">
                  <c:v>2024</c:v>
                </c:pt>
                <c:pt idx="55">
                  <c:v>2025</c:v>
                </c:pt>
              </c:strCache>
            </c:strRef>
          </c:cat>
          <c:val>
            <c:numRef>
              <c:f>'YEAR VS HIRE TREND'!$B$4:$B$60</c:f>
              <c:numCache>
                <c:formatCode>General</c:formatCode>
                <c:ptCount val="56"/>
                <c:pt idx="0">
                  <c:v>8</c:v>
                </c:pt>
                <c:pt idx="1">
                  <c:v>7</c:v>
                </c:pt>
                <c:pt idx="2">
                  <c:v>9</c:v>
                </c:pt>
                <c:pt idx="3">
                  <c:v>12</c:v>
                </c:pt>
                <c:pt idx="4">
                  <c:v>12</c:v>
                </c:pt>
                <c:pt idx="5">
                  <c:v>8</c:v>
                </c:pt>
                <c:pt idx="6">
                  <c:v>14</c:v>
                </c:pt>
                <c:pt idx="7">
                  <c:v>5</c:v>
                </c:pt>
                <c:pt idx="8">
                  <c:v>8</c:v>
                </c:pt>
                <c:pt idx="9">
                  <c:v>8</c:v>
                </c:pt>
                <c:pt idx="10">
                  <c:v>9</c:v>
                </c:pt>
                <c:pt idx="11">
                  <c:v>11</c:v>
                </c:pt>
                <c:pt idx="12">
                  <c:v>7</c:v>
                </c:pt>
                <c:pt idx="13">
                  <c:v>13</c:v>
                </c:pt>
                <c:pt idx="14">
                  <c:v>11</c:v>
                </c:pt>
                <c:pt idx="15">
                  <c:v>8</c:v>
                </c:pt>
                <c:pt idx="16">
                  <c:v>5</c:v>
                </c:pt>
                <c:pt idx="17">
                  <c:v>9</c:v>
                </c:pt>
                <c:pt idx="18">
                  <c:v>7</c:v>
                </c:pt>
                <c:pt idx="19">
                  <c:v>8</c:v>
                </c:pt>
                <c:pt idx="20">
                  <c:v>6</c:v>
                </c:pt>
                <c:pt idx="21">
                  <c:v>11</c:v>
                </c:pt>
                <c:pt idx="22">
                  <c:v>9</c:v>
                </c:pt>
                <c:pt idx="23">
                  <c:v>6</c:v>
                </c:pt>
                <c:pt idx="24">
                  <c:v>10</c:v>
                </c:pt>
                <c:pt idx="25">
                  <c:v>4</c:v>
                </c:pt>
                <c:pt idx="26">
                  <c:v>9</c:v>
                </c:pt>
                <c:pt idx="27">
                  <c:v>12</c:v>
                </c:pt>
                <c:pt idx="28">
                  <c:v>10</c:v>
                </c:pt>
                <c:pt idx="29">
                  <c:v>8</c:v>
                </c:pt>
                <c:pt idx="30">
                  <c:v>7</c:v>
                </c:pt>
                <c:pt idx="31">
                  <c:v>8</c:v>
                </c:pt>
                <c:pt idx="32">
                  <c:v>9</c:v>
                </c:pt>
                <c:pt idx="33">
                  <c:v>9</c:v>
                </c:pt>
                <c:pt idx="34">
                  <c:v>11</c:v>
                </c:pt>
                <c:pt idx="35">
                  <c:v>11</c:v>
                </c:pt>
                <c:pt idx="36">
                  <c:v>14</c:v>
                </c:pt>
                <c:pt idx="37">
                  <c:v>8</c:v>
                </c:pt>
                <c:pt idx="38">
                  <c:v>12</c:v>
                </c:pt>
                <c:pt idx="39">
                  <c:v>11</c:v>
                </c:pt>
                <c:pt idx="40">
                  <c:v>9</c:v>
                </c:pt>
                <c:pt idx="41">
                  <c:v>7</c:v>
                </c:pt>
                <c:pt idx="42">
                  <c:v>11</c:v>
                </c:pt>
                <c:pt idx="43">
                  <c:v>9</c:v>
                </c:pt>
                <c:pt idx="44">
                  <c:v>10</c:v>
                </c:pt>
                <c:pt idx="45">
                  <c:v>5</c:v>
                </c:pt>
                <c:pt idx="46">
                  <c:v>7</c:v>
                </c:pt>
                <c:pt idx="47">
                  <c:v>11</c:v>
                </c:pt>
                <c:pt idx="48">
                  <c:v>15</c:v>
                </c:pt>
                <c:pt idx="49">
                  <c:v>5</c:v>
                </c:pt>
                <c:pt idx="50">
                  <c:v>10</c:v>
                </c:pt>
                <c:pt idx="51">
                  <c:v>7</c:v>
                </c:pt>
                <c:pt idx="52">
                  <c:v>12</c:v>
                </c:pt>
                <c:pt idx="53">
                  <c:v>9</c:v>
                </c:pt>
                <c:pt idx="54">
                  <c:v>3</c:v>
                </c:pt>
                <c:pt idx="55">
                  <c:v>6</c:v>
                </c:pt>
              </c:numCache>
            </c:numRef>
          </c:val>
          <c:smooth val="0"/>
          <c:extLst>
            <c:ext xmlns:c16="http://schemas.microsoft.com/office/drawing/2014/chart" uri="{C3380CC4-5D6E-409C-BE32-E72D297353CC}">
              <c16:uniqueId val="{00000000-71B4-4C27-B8DE-C0D144F7153C}"/>
            </c:ext>
          </c:extLst>
        </c:ser>
        <c:dLbls>
          <c:showLegendKey val="0"/>
          <c:showVal val="0"/>
          <c:showCatName val="0"/>
          <c:showSerName val="0"/>
          <c:showPercent val="0"/>
          <c:showBubbleSize val="0"/>
        </c:dLbls>
        <c:smooth val="0"/>
        <c:axId val="761248735"/>
        <c:axId val="234215599"/>
      </c:lineChart>
      <c:catAx>
        <c:axId val="761248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215599"/>
        <c:crosses val="autoZero"/>
        <c:auto val="1"/>
        <c:lblAlgn val="ctr"/>
        <c:lblOffset val="100"/>
        <c:noMultiLvlLbl val="0"/>
      </c:catAx>
      <c:valAx>
        <c:axId val="234215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248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[employee_data^.xlsx]SALARY DISTRIBUTION!PivotTable18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 DISTRIBUTION</a:t>
            </a:r>
          </a:p>
        </c:rich>
      </c:tx>
      <c:layout>
        <c:manualLayout>
          <c:xMode val="edge"/>
          <c:yMode val="edge"/>
          <c:x val="0.29093744531933508"/>
          <c:y val="0.110090405365995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'SALARY DISTRIBUTION'!$B$3</c:f>
              <c:strCache>
                <c:ptCount val="1"/>
                <c:pt idx="0">
                  <c:v>Total</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'SALARY DISTRIBUTION'!$A$4:$A$9</c:f>
              <c:strCache>
                <c:ptCount val="5"/>
                <c:pt idx="0">
                  <c:v>0-50K</c:v>
                </c:pt>
                <c:pt idx="1">
                  <c:v>50K-1L</c:v>
                </c:pt>
                <c:pt idx="2">
                  <c:v>1L-1.5L</c:v>
                </c:pt>
                <c:pt idx="3">
                  <c:v>1.5-2L</c:v>
                </c:pt>
                <c:pt idx="4">
                  <c:v>2L+</c:v>
                </c:pt>
              </c:strCache>
            </c:strRef>
          </c:cat>
          <c:val>
            <c:numRef>
              <c:f>'SALARY DISTRIBUTION'!$B$4:$B$9</c:f>
              <c:numCache>
                <c:formatCode>General</c:formatCode>
                <c:ptCount val="5"/>
                <c:pt idx="0">
                  <c:v>1</c:v>
                </c:pt>
                <c:pt idx="1">
                  <c:v>47</c:v>
                </c:pt>
                <c:pt idx="2">
                  <c:v>130</c:v>
                </c:pt>
                <c:pt idx="3">
                  <c:v>167</c:v>
                </c:pt>
                <c:pt idx="4">
                  <c:v>155</c:v>
                </c:pt>
              </c:numCache>
            </c:numRef>
          </c:val>
          <c:extLst>
            <c:ext xmlns:c16="http://schemas.microsoft.com/office/drawing/2014/chart" uri="{C3380CC4-5D6E-409C-BE32-E72D297353CC}">
              <c16:uniqueId val="{00000000-2B18-4E83-A298-57891EAAE120}"/>
            </c:ext>
          </c:extLst>
        </c:ser>
        <c:dLbls>
          <c:showLegendKey val="0"/>
          <c:showVal val="1"/>
          <c:showCatName val="0"/>
          <c:showSerName val="0"/>
          <c:showPercent val="0"/>
          <c:showBubbleSize val="0"/>
        </c:dLbls>
        <c:gapWidth val="219"/>
        <c:axId val="826393935"/>
        <c:axId val="835542831"/>
      </c:barChart>
      <c:catAx>
        <c:axId val="826393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542831"/>
        <c:crosses val="autoZero"/>
        <c:auto val="1"/>
        <c:lblAlgn val="ctr"/>
        <c:lblOffset val="100"/>
        <c:noMultiLvlLbl val="0"/>
      </c:catAx>
      <c:valAx>
        <c:axId val="835542831"/>
        <c:scaling>
          <c:orientation val="minMax"/>
        </c:scaling>
        <c:delete val="1"/>
        <c:axPos val="b"/>
        <c:numFmt formatCode="General" sourceLinked="1"/>
        <c:majorTickMark val="none"/>
        <c:minorTickMark val="none"/>
        <c:tickLblPos val="nextTo"/>
        <c:crossAx val="826393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[employee_data^.xlsx]AGE GROUP DISTRIBUTION!PivotTable8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GROUP DISTRIBUTION</a:t>
            </a:r>
            <a:endParaRPr lang="en-US"/>
          </a:p>
        </c:rich>
      </c:tx>
      <c:layout>
        <c:manualLayout>
          <c:xMode val="edge"/>
          <c:yMode val="edge"/>
          <c:x val="0.23115966754155731"/>
          <c:y val="7.87037037037037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75000"/>
            </a:schemeClr>
          </a:solidFill>
          <a:ln w="19050">
            <a:solidFill>
              <a:schemeClr val="lt1"/>
            </a:solidFill>
          </a:ln>
          <a:effectLst/>
        </c:spPr>
      </c:pivotFmt>
      <c:pivotFmt>
        <c:idx val="2"/>
        <c:spPr>
          <a:solidFill>
            <a:schemeClr val="tx2">
              <a:lumMod val="25000"/>
              <a:lumOff val="75000"/>
            </a:schemeClr>
          </a:solidFill>
          <a:ln w="19050">
            <a:solidFill>
              <a:schemeClr val="lt1"/>
            </a:solidFill>
          </a:ln>
          <a:effectLst/>
        </c:spPr>
      </c:pivotFmt>
      <c:pivotFmt>
        <c:idx val="3"/>
        <c:spPr>
          <a:solidFill>
            <a:schemeClr val="accent3">
              <a:lumMod val="40000"/>
              <a:lumOff val="60000"/>
            </a:schemeClr>
          </a:solidFill>
          <a:ln w="19050">
            <a:solidFill>
              <a:schemeClr val="lt1"/>
            </a:solidFill>
          </a:ln>
          <a:effectLst/>
        </c:spPr>
      </c:pivotFmt>
      <c:pivotFmt>
        <c:idx val="4"/>
        <c:spPr>
          <a:solidFill>
            <a:schemeClr val="accent5">
              <a:lumMod val="20000"/>
              <a:lumOff val="80000"/>
            </a:schemeClr>
          </a:solidFill>
          <a:ln w="19050">
            <a:solidFill>
              <a:schemeClr val="lt1"/>
            </a:solidFill>
          </a:ln>
          <a:effectLst/>
        </c:spPr>
      </c:pivotFmt>
    </c:pivotFmts>
    <c:plotArea>
      <c:layout/>
      <c:pieChart>
        <c:varyColors val="1"/>
        <c:ser>
          <c:idx val="0"/>
          <c:order val="0"/>
          <c:tx>
            <c:strRef>
              <c:f>'AGE GROUP DISTRIBUTION'!$B$3</c:f>
              <c:strCache>
                <c:ptCount val="1"/>
                <c:pt idx="0">
                  <c:v>Total</c:v>
                </c:pt>
              </c:strCache>
            </c:strRef>
          </c:tx>
          <c:dPt>
            <c:idx val="0"/>
            <c:bubble3D val="0"/>
            <c:spPr>
              <a:solidFill>
                <a:schemeClr val="tx2">
                  <a:lumMod val="25000"/>
                  <a:lumOff val="75000"/>
                </a:schemeClr>
              </a:solidFill>
              <a:ln w="19050">
                <a:solidFill>
                  <a:schemeClr val="lt1"/>
                </a:solidFill>
              </a:ln>
              <a:effectLst/>
            </c:spPr>
            <c:extLst>
              <c:ext xmlns:c16="http://schemas.microsoft.com/office/drawing/2014/chart" uri="{C3380CC4-5D6E-409C-BE32-E72D297353CC}">
                <c16:uniqueId val="{00000003-F4C4-40E9-850B-4E666E1D1EE1}"/>
              </c:ext>
            </c:extLst>
          </c:dPt>
          <c:dPt>
            <c:idx val="1"/>
            <c:bubble3D val="0"/>
            <c:spPr>
              <a:solidFill>
                <a:schemeClr val="accent3">
                  <a:lumMod val="40000"/>
                  <a:lumOff val="60000"/>
                </a:schemeClr>
              </a:solidFill>
              <a:ln w="19050">
                <a:solidFill>
                  <a:schemeClr val="lt1"/>
                </a:solidFill>
              </a:ln>
              <a:effectLst/>
            </c:spPr>
            <c:extLst>
              <c:ext xmlns:c16="http://schemas.microsoft.com/office/drawing/2014/chart" uri="{C3380CC4-5D6E-409C-BE32-E72D297353CC}">
                <c16:uniqueId val="{00000004-F4C4-40E9-850B-4E666E1D1EE1}"/>
              </c:ext>
            </c:extLst>
          </c:dPt>
          <c:dPt>
            <c:idx val="2"/>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5-F4C4-40E9-850B-4E666E1D1EE1}"/>
              </c:ext>
            </c:extLst>
          </c:dPt>
          <c:dPt>
            <c:idx val="3"/>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2-F4C4-40E9-850B-4E666E1D1EE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'AGE GROUP DISTRIBUTION'!$A$4:$A$8</c:f>
              <c:strCache>
                <c:ptCount val="4"/>
                <c:pt idx="0">
                  <c:v>20-29</c:v>
                </c:pt>
                <c:pt idx="1">
                  <c:v>30-39</c:v>
                </c:pt>
                <c:pt idx="2">
                  <c:v>40-49</c:v>
                </c:pt>
                <c:pt idx="3">
                  <c:v>50+</c:v>
                </c:pt>
              </c:strCache>
            </c:strRef>
          </c:cat>
          <c:val>
            <c:numRef>
              <c:f>'AGE GROUP DISTRIBUTION'!$B$4:$B$8</c:f>
              <c:numCache>
                <c:formatCode>General</c:formatCode>
                <c:ptCount val="4"/>
                <c:pt idx="0">
                  <c:v>77</c:v>
                </c:pt>
                <c:pt idx="1">
                  <c:v>106</c:v>
                </c:pt>
                <c:pt idx="2">
                  <c:v>147</c:v>
                </c:pt>
                <c:pt idx="3">
                  <c:v>170</c:v>
                </c:pt>
              </c:numCache>
            </c:numRef>
          </c:val>
          <c:extLst>
            <c:ext xmlns:c16="http://schemas.microsoft.com/office/drawing/2014/chart" uri="{C3380CC4-5D6E-409C-BE32-E72D297353CC}">
              <c16:uniqueId val="{00000000-F4C4-40E9-850B-4E666E1D1EE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[employee_data^.xlsx]EMPLOYEE DSTRBTION BY EXP&amp;DEPT !PivotTable21</c:name>
    <c:fmtId val="2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EMPLOYEE</a:t>
            </a:r>
            <a:r>
              <a:rPr lang="en-IN" baseline="0"/>
              <a:t> DISTRIBUTION BY EXP &amp; DEPT</a:t>
            </a:r>
            <a:endParaRPr lang="en-IN"/>
          </a:p>
        </c:rich>
      </c:tx>
      <c:layout>
        <c:manualLayout>
          <c:xMode val="edge"/>
          <c:yMode val="edge"/>
          <c:x val="0.11629847713869391"/>
          <c:y val="3.240740740740740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'EMPLOYEE DSTRBTION BY EXP&amp;DEPT '!$B$3:$B$4</c:f>
              <c:strCache>
                <c:ptCount val="1"/>
                <c:pt idx="0">
                  <c:v>7-15 YEARS</c:v>
                </c:pt>
              </c:strCache>
            </c:strRef>
          </c:tx>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c:spPr>
          <c:invertIfNegative val="0"/>
          <c:cat>
            <c:strRef>
              <c:f>'EMPLOYEE DSTRBTION BY EXP&amp;DEPT '!$A$5:$A$10</c:f>
              <c:strCache>
                <c:ptCount val="5"/>
                <c:pt idx="0">
                  <c:v>Finance</c:v>
                </c:pt>
                <c:pt idx="1">
                  <c:v>HR</c:v>
                </c:pt>
                <c:pt idx="2">
                  <c:v>IT</c:v>
                </c:pt>
                <c:pt idx="3">
                  <c:v>Marketing</c:v>
                </c:pt>
                <c:pt idx="4">
                  <c:v>Sales</c:v>
                </c:pt>
              </c:strCache>
            </c:strRef>
          </c:cat>
          <c:val>
            <c:numRef>
              <c:f>'EMPLOYEE DSTRBTION BY EXP&amp;DEPT '!$B$5:$B$10</c:f>
              <c:numCache>
                <c:formatCode>General</c:formatCode>
                <c:ptCount val="5"/>
                <c:pt idx="0">
                  <c:v>14</c:v>
                </c:pt>
                <c:pt idx="1">
                  <c:v>15</c:v>
                </c:pt>
                <c:pt idx="2">
                  <c:v>21</c:v>
                </c:pt>
                <c:pt idx="3">
                  <c:v>15</c:v>
                </c:pt>
                <c:pt idx="4">
                  <c:v>22</c:v>
                </c:pt>
              </c:numCache>
            </c:numRef>
          </c:val>
          <c:extLst>
            <c:ext xmlns:c16="http://schemas.microsoft.com/office/drawing/2014/chart" uri="{C3380CC4-5D6E-409C-BE32-E72D297353CC}">
              <c16:uniqueId val="{00000000-0D98-4867-82FB-12C209D3BF47}"/>
            </c:ext>
          </c:extLst>
        </c:ser>
        <c:ser>
          <c:idx val="1"/>
          <c:order val="1"/>
          <c:tx>
            <c:strRef>
              <c:f>'EMPLOYEE DSTRBTION BY EXP&amp;DEPT '!$C$3:$C$4</c:f>
              <c:strCache>
                <c:ptCount val="1"/>
                <c:pt idx="0">
                  <c:v>15-23  YEARS</c:v>
                </c:pt>
              </c:strCache>
            </c:strRef>
          </c:tx>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c:spPr>
          <c:invertIfNegative val="0"/>
          <c:cat>
            <c:strRef>
              <c:f>'EMPLOYEE DSTRBTION BY EXP&amp;DEPT '!$A$5:$A$10</c:f>
              <c:strCache>
                <c:ptCount val="5"/>
                <c:pt idx="0">
                  <c:v>Finance</c:v>
                </c:pt>
                <c:pt idx="1">
                  <c:v>HR</c:v>
                </c:pt>
                <c:pt idx="2">
                  <c:v>IT</c:v>
                </c:pt>
                <c:pt idx="3">
                  <c:v>Marketing</c:v>
                </c:pt>
                <c:pt idx="4">
                  <c:v>Sales</c:v>
                </c:pt>
              </c:strCache>
            </c:strRef>
          </c:cat>
          <c:val>
            <c:numRef>
              <c:f>'EMPLOYEE DSTRBTION BY EXP&amp;DEPT '!$C$5:$C$10</c:f>
              <c:numCache>
                <c:formatCode>General</c:formatCode>
                <c:ptCount val="5"/>
                <c:pt idx="0">
                  <c:v>48</c:v>
                </c:pt>
                <c:pt idx="1">
                  <c:v>32</c:v>
                </c:pt>
                <c:pt idx="2">
                  <c:v>33</c:v>
                </c:pt>
                <c:pt idx="3">
                  <c:v>38</c:v>
                </c:pt>
                <c:pt idx="4">
                  <c:v>40</c:v>
                </c:pt>
              </c:numCache>
            </c:numRef>
          </c:val>
          <c:extLst>
            <c:ext xmlns:c16="http://schemas.microsoft.com/office/drawing/2014/chart" uri="{C3380CC4-5D6E-409C-BE32-E72D297353CC}">
              <c16:uniqueId val="{00000001-0D98-4867-82FB-12C209D3BF47}"/>
            </c:ext>
          </c:extLst>
        </c:ser>
        <c:ser>
          <c:idx val="2"/>
          <c:order val="2"/>
          <c:tx>
            <c:strRef>
              <c:f>'EMPLOYEE DSTRBTION BY EXP&amp;DEPT '!$D$3:$D$4</c:f>
              <c:strCache>
                <c:ptCount val="1"/>
                <c:pt idx="0">
                  <c:v>23-30 YEARS</c:v>
                </c:pt>
              </c:strCache>
            </c:strRef>
          </c:tx>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c:spPr>
          <c:invertIfNegative val="0"/>
          <c:cat>
            <c:strRef>
              <c:f>'EMPLOYEE DSTRBTION BY EXP&amp;DEPT '!$A$5:$A$10</c:f>
              <c:strCache>
                <c:ptCount val="5"/>
                <c:pt idx="0">
                  <c:v>Finance</c:v>
                </c:pt>
                <c:pt idx="1">
                  <c:v>HR</c:v>
                </c:pt>
                <c:pt idx="2">
                  <c:v>IT</c:v>
                </c:pt>
                <c:pt idx="3">
                  <c:v>Marketing</c:v>
                </c:pt>
                <c:pt idx="4">
                  <c:v>Sales</c:v>
                </c:pt>
              </c:strCache>
            </c:strRef>
          </c:cat>
          <c:val>
            <c:numRef>
              <c:f>'EMPLOYEE DSTRBTION BY EXP&amp;DEPT '!$D$5:$D$10</c:f>
              <c:numCache>
                <c:formatCode>General</c:formatCode>
                <c:ptCount val="5"/>
                <c:pt idx="0">
                  <c:v>34</c:v>
                </c:pt>
                <c:pt idx="1">
                  <c:v>31</c:v>
                </c:pt>
                <c:pt idx="2">
                  <c:v>40</c:v>
                </c:pt>
                <c:pt idx="3">
                  <c:v>26</c:v>
                </c:pt>
                <c:pt idx="4">
                  <c:v>39</c:v>
                </c:pt>
              </c:numCache>
            </c:numRef>
          </c:val>
          <c:extLst>
            <c:ext xmlns:c16="http://schemas.microsoft.com/office/drawing/2014/chart" uri="{C3380CC4-5D6E-409C-BE32-E72D297353CC}">
              <c16:uniqueId val="{00000002-0D98-4867-82FB-12C209D3BF47}"/>
            </c:ext>
          </c:extLst>
        </c:ser>
        <c:ser>
          <c:idx val="3"/>
          <c:order val="3"/>
          <c:tx>
            <c:strRef>
              <c:f>'EMPLOYEE DSTRBTION BY EXP&amp;DEPT '!$E$3:$E$4</c:f>
              <c:strCache>
                <c:ptCount val="1"/>
                <c:pt idx="0">
                  <c:v>30+ YEARS</c:v>
                </c:pt>
              </c:strCache>
            </c:strRef>
          </c:tx>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c:spPr>
          <c:invertIfNegative val="0"/>
          <c:cat>
            <c:strRef>
              <c:f>'EMPLOYEE DSTRBTION BY EXP&amp;DEPT '!$A$5:$A$10</c:f>
              <c:strCache>
                <c:ptCount val="5"/>
                <c:pt idx="0">
                  <c:v>Finance</c:v>
                </c:pt>
                <c:pt idx="1">
                  <c:v>HR</c:v>
                </c:pt>
                <c:pt idx="2">
                  <c:v>IT</c:v>
                </c:pt>
                <c:pt idx="3">
                  <c:v>Marketing</c:v>
                </c:pt>
                <c:pt idx="4">
                  <c:v>Sales</c:v>
                </c:pt>
              </c:strCache>
            </c:strRef>
          </c:cat>
          <c:val>
            <c:numRef>
              <c:f>'EMPLOYEE DSTRBTION BY EXP&amp;DEPT '!$E$5:$E$10</c:f>
              <c:numCache>
                <c:formatCode>General</c:formatCode>
                <c:ptCount val="5"/>
                <c:pt idx="0">
                  <c:v>6</c:v>
                </c:pt>
                <c:pt idx="1">
                  <c:v>9</c:v>
                </c:pt>
                <c:pt idx="2">
                  <c:v>16</c:v>
                </c:pt>
                <c:pt idx="3">
                  <c:v>16</c:v>
                </c:pt>
                <c:pt idx="4">
                  <c:v>5</c:v>
                </c:pt>
              </c:numCache>
            </c:numRef>
          </c:val>
          <c:extLst>
            <c:ext xmlns:c16="http://schemas.microsoft.com/office/drawing/2014/chart" uri="{C3380CC4-5D6E-409C-BE32-E72D297353CC}">
              <c16:uniqueId val="{00000003-0D98-4867-82FB-12C209D3BF47}"/>
            </c:ext>
          </c:extLst>
        </c:ser>
        <c:dLbls>
          <c:showLegendKey val="0"/>
          <c:showVal val="0"/>
          <c:showCatName val="0"/>
          <c:showSerName val="0"/>
          <c:showPercent val="0"/>
          <c:showBubbleSize val="0"/>
        </c:dLbls>
        <c:gapWidth val="100"/>
        <c:overlap val="-24"/>
        <c:axId val="824827407"/>
        <c:axId val="835560591"/>
      </c:barChart>
      <c:catAx>
        <c:axId val="82482740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35560591"/>
        <c:crosses val="autoZero"/>
        <c:auto val="1"/>
        <c:lblAlgn val="ctr"/>
        <c:lblOffset val="100"/>
        <c:noMultiLvlLbl val="0"/>
      </c:catAx>
      <c:valAx>
        <c:axId val="83556059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24827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Reversed" id="21">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160020</xdr:colOff>
      <xdr:row>3</xdr:row>
      <xdr:rowOff>53340</xdr:rowOff>
    </xdr:from>
    <xdr:to>
      <xdr:col>7</xdr:col>
      <xdr:colOff>175260</xdr:colOff>
      <xdr:row>18</xdr:row>
      <xdr:rowOff>45720</xdr:rowOff>
    </xdr:to>
    <xdr:graphicFrame macro="">
      <xdr:nvGraphicFramePr>
        <xdr:cNvPr id="2" name="Chart 1">
          <a:extLst>
            <a:ext uri="{FF2B5EF4-FFF2-40B4-BE49-F238E27FC236}">
              <a16:creationId xmlns:a16="http://schemas.microsoft.com/office/drawing/2014/main" id="{12A7B816-DFF4-47F7-A632-8021A40783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3</xdr:row>
      <xdr:rowOff>76200</xdr:rowOff>
    </xdr:from>
    <xdr:to>
      <xdr:col>15</xdr:col>
      <xdr:colOff>304800</xdr:colOff>
      <xdr:row>18</xdr:row>
      <xdr:rowOff>76200</xdr:rowOff>
    </xdr:to>
    <xdr:graphicFrame macro="">
      <xdr:nvGraphicFramePr>
        <xdr:cNvPr id="3" name="Chart 2">
          <a:extLst>
            <a:ext uri="{FF2B5EF4-FFF2-40B4-BE49-F238E27FC236}">
              <a16:creationId xmlns:a16="http://schemas.microsoft.com/office/drawing/2014/main" id="{668E5319-9E73-42B0-884B-D196A22764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60960</xdr:colOff>
      <xdr:row>3</xdr:row>
      <xdr:rowOff>68580</xdr:rowOff>
    </xdr:from>
    <xdr:to>
      <xdr:col>23</xdr:col>
      <xdr:colOff>137160</xdr:colOff>
      <xdr:row>18</xdr:row>
      <xdr:rowOff>68580</xdr:rowOff>
    </xdr:to>
    <xdr:graphicFrame macro="">
      <xdr:nvGraphicFramePr>
        <xdr:cNvPr id="4" name="Chart 3">
          <a:extLst>
            <a:ext uri="{FF2B5EF4-FFF2-40B4-BE49-F238E27FC236}">
              <a16:creationId xmlns:a16="http://schemas.microsoft.com/office/drawing/2014/main" id="{C0CF53EC-111F-44FF-9D48-1AB8873D78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91440</xdr:colOff>
      <xdr:row>21</xdr:row>
      <xdr:rowOff>167640</xdr:rowOff>
    </xdr:from>
    <xdr:to>
      <xdr:col>7</xdr:col>
      <xdr:colOff>182880</xdr:colOff>
      <xdr:row>36</xdr:row>
      <xdr:rowOff>53340</xdr:rowOff>
    </xdr:to>
    <xdr:graphicFrame macro="">
      <xdr:nvGraphicFramePr>
        <xdr:cNvPr id="9" name="Chart 8">
          <a:extLst>
            <a:ext uri="{FF2B5EF4-FFF2-40B4-BE49-F238E27FC236}">
              <a16:creationId xmlns:a16="http://schemas.microsoft.com/office/drawing/2014/main" id="{FD474276-C7E1-443B-99CF-101AB6688F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510540</xdr:colOff>
      <xdr:row>21</xdr:row>
      <xdr:rowOff>152400</xdr:rowOff>
    </xdr:from>
    <xdr:to>
      <xdr:col>15</xdr:col>
      <xdr:colOff>205740</xdr:colOff>
      <xdr:row>36</xdr:row>
      <xdr:rowOff>152400</xdr:rowOff>
    </xdr:to>
    <xdr:graphicFrame macro="">
      <xdr:nvGraphicFramePr>
        <xdr:cNvPr id="10" name="Chart 9">
          <a:extLst>
            <a:ext uri="{FF2B5EF4-FFF2-40B4-BE49-F238E27FC236}">
              <a16:creationId xmlns:a16="http://schemas.microsoft.com/office/drawing/2014/main" id="{0DC0F469-BA86-44DF-A8FD-3CE7C9557E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22860</xdr:colOff>
      <xdr:row>21</xdr:row>
      <xdr:rowOff>137160</xdr:rowOff>
    </xdr:from>
    <xdr:to>
      <xdr:col>23</xdr:col>
      <xdr:colOff>106680</xdr:colOff>
      <xdr:row>36</xdr:row>
      <xdr:rowOff>137160</xdr:rowOff>
    </xdr:to>
    <xdr:graphicFrame macro="">
      <xdr:nvGraphicFramePr>
        <xdr:cNvPr id="11" name="Chart 10">
          <a:extLst>
            <a:ext uri="{FF2B5EF4-FFF2-40B4-BE49-F238E27FC236}">
              <a16:creationId xmlns:a16="http://schemas.microsoft.com/office/drawing/2014/main" id="{63485C39-612F-4E38-98A5-7799711FE2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274320</xdr:colOff>
      <xdr:row>37</xdr:row>
      <xdr:rowOff>99061</xdr:rowOff>
    </xdr:from>
    <xdr:to>
      <xdr:col>4</xdr:col>
      <xdr:colOff>449580</xdr:colOff>
      <xdr:row>47</xdr:row>
      <xdr:rowOff>0</xdr:rowOff>
    </xdr:to>
    <mc:AlternateContent xmlns:mc="http://schemas.openxmlformats.org/markup-compatibility/2006" xmlns:a14="http://schemas.microsoft.com/office/drawing/2010/main">
      <mc:Choice Requires="a14">
        <xdr:graphicFrame macro="">
          <xdr:nvGraphicFramePr>
            <xdr:cNvPr id="6" name="Department 1">
              <a:extLst>
                <a:ext uri="{FF2B5EF4-FFF2-40B4-BE49-F238E27FC236}">
                  <a16:creationId xmlns:a16="http://schemas.microsoft.com/office/drawing/2014/main" id="{4D9EBDD9-D168-DA83-4A25-E19A57F913BE}"/>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493520" y="8503921"/>
              <a:ext cx="1394460" cy="17297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472440</xdr:colOff>
      <xdr:row>1</xdr:row>
      <xdr:rowOff>41910</xdr:rowOff>
    </xdr:from>
    <xdr:to>
      <xdr:col>3</xdr:col>
      <xdr:colOff>198120</xdr:colOff>
      <xdr:row>2</xdr:row>
      <xdr:rowOff>861060</xdr:rowOff>
    </xdr:to>
    <xdr:sp macro="" textlink="">
      <xdr:nvSpPr>
        <xdr:cNvPr id="7" name="TextBox 6">
          <a:extLst>
            <a:ext uri="{FF2B5EF4-FFF2-40B4-BE49-F238E27FC236}">
              <a16:creationId xmlns:a16="http://schemas.microsoft.com/office/drawing/2014/main" id="{04525701-237A-6438-DC6B-9161BAF40B80}"/>
            </a:ext>
          </a:extLst>
        </xdr:cNvPr>
        <xdr:cNvSpPr txBox="1"/>
      </xdr:nvSpPr>
      <xdr:spPr>
        <a:xfrm>
          <a:off x="472440" y="773430"/>
          <a:ext cx="1554480" cy="10020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TOTAL EMPLOYEES</a:t>
          </a:r>
        </a:p>
        <a:p>
          <a:pPr algn="ctr"/>
          <a:r>
            <a:rPr lang="en-IN" sz="2800" b="1">
              <a:solidFill>
                <a:schemeClr val="accent1">
                  <a:lumMod val="75000"/>
                </a:schemeClr>
              </a:solidFill>
            </a:rPr>
            <a:t>500</a:t>
          </a:r>
        </a:p>
        <a:p>
          <a:pPr algn="ctr"/>
          <a:endParaRPr lang="en-IN" sz="4000" b="1"/>
        </a:p>
        <a:p>
          <a:pPr algn="ctr"/>
          <a:endParaRPr lang="en-IN" sz="1400" b="1"/>
        </a:p>
      </xdr:txBody>
    </xdr:sp>
    <xdr:clientData/>
  </xdr:twoCellAnchor>
  <xdr:twoCellAnchor>
    <xdr:from>
      <xdr:col>4</xdr:col>
      <xdr:colOff>541020</xdr:colOff>
      <xdr:row>1</xdr:row>
      <xdr:rowOff>34290</xdr:rowOff>
    </xdr:from>
    <xdr:to>
      <xdr:col>7</xdr:col>
      <xdr:colOff>182880</xdr:colOff>
      <xdr:row>2</xdr:row>
      <xdr:rowOff>845820</xdr:rowOff>
    </xdr:to>
    <xdr:sp macro="" textlink="">
      <xdr:nvSpPr>
        <xdr:cNvPr id="8" name="TextBox 7">
          <a:extLst>
            <a:ext uri="{FF2B5EF4-FFF2-40B4-BE49-F238E27FC236}">
              <a16:creationId xmlns:a16="http://schemas.microsoft.com/office/drawing/2014/main" id="{CF0BD3DA-F39A-F3F6-8786-073620F8120E}"/>
            </a:ext>
          </a:extLst>
        </xdr:cNvPr>
        <xdr:cNvSpPr txBox="1"/>
      </xdr:nvSpPr>
      <xdr:spPr>
        <a:xfrm>
          <a:off x="2979420" y="765810"/>
          <a:ext cx="1470660" cy="9944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tx1"/>
              </a:solidFill>
            </a:rPr>
            <a:t>TOTAL DEPARTMENTS</a:t>
          </a:r>
        </a:p>
        <a:p>
          <a:pPr algn="ctr"/>
          <a:r>
            <a:rPr lang="en-IN" sz="2800" b="1">
              <a:solidFill>
                <a:schemeClr val="accent1"/>
              </a:solidFill>
            </a:rPr>
            <a:t>5</a:t>
          </a:r>
        </a:p>
        <a:p>
          <a:pPr algn="ctr"/>
          <a:endParaRPr lang="en-IN" sz="1400" b="1">
            <a:solidFill>
              <a:schemeClr val="tx1"/>
            </a:solidFill>
          </a:endParaRPr>
        </a:p>
      </xdr:txBody>
    </xdr:sp>
    <xdr:clientData/>
  </xdr:twoCellAnchor>
  <xdr:oneCellAnchor>
    <xdr:from>
      <xdr:col>3</xdr:col>
      <xdr:colOff>472440</xdr:colOff>
      <xdr:row>13</xdr:row>
      <xdr:rowOff>22860</xdr:rowOff>
    </xdr:from>
    <xdr:ext cx="184731" cy="264560"/>
    <xdr:sp macro="" textlink="">
      <xdr:nvSpPr>
        <xdr:cNvPr id="12" name="TextBox 11">
          <a:extLst>
            <a:ext uri="{FF2B5EF4-FFF2-40B4-BE49-F238E27FC236}">
              <a16:creationId xmlns:a16="http://schemas.microsoft.com/office/drawing/2014/main" id="{08C6F53F-8697-552F-7002-C7CFF7D25D12}"/>
            </a:ext>
          </a:extLst>
        </xdr:cNvPr>
        <xdr:cNvSpPr txBox="1"/>
      </xdr:nvSpPr>
      <xdr:spPr>
        <a:xfrm>
          <a:off x="2301240" y="29489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13</xdr:col>
      <xdr:colOff>350520</xdr:colOff>
      <xdr:row>1</xdr:row>
      <xdr:rowOff>34290</xdr:rowOff>
    </xdr:from>
    <xdr:to>
      <xdr:col>16</xdr:col>
      <xdr:colOff>7620</xdr:colOff>
      <xdr:row>2</xdr:row>
      <xdr:rowOff>914400</xdr:rowOff>
    </xdr:to>
    <xdr:sp macro="" textlink="">
      <xdr:nvSpPr>
        <xdr:cNvPr id="14" name="TextBox 13">
          <a:extLst>
            <a:ext uri="{FF2B5EF4-FFF2-40B4-BE49-F238E27FC236}">
              <a16:creationId xmlns:a16="http://schemas.microsoft.com/office/drawing/2014/main" id="{BAEA3A1F-919D-534F-D884-C8BAE29E23E4}"/>
            </a:ext>
          </a:extLst>
        </xdr:cNvPr>
        <xdr:cNvSpPr txBox="1"/>
      </xdr:nvSpPr>
      <xdr:spPr>
        <a:xfrm>
          <a:off x="8275320" y="765810"/>
          <a:ext cx="1485900" cy="10629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tx1"/>
              </a:solidFill>
            </a:rPr>
            <a:t>TOTAL MANAGERS</a:t>
          </a:r>
        </a:p>
        <a:p>
          <a:pPr algn="ctr"/>
          <a:r>
            <a:rPr lang="en-IN" sz="2800" b="1">
              <a:solidFill>
                <a:schemeClr val="accent1"/>
              </a:solidFill>
            </a:rPr>
            <a:t>257</a:t>
          </a:r>
        </a:p>
        <a:p>
          <a:pPr algn="ctr"/>
          <a:endParaRPr lang="en-IN" sz="2800" b="1">
            <a:solidFill>
              <a:schemeClr val="tx1"/>
            </a:solidFill>
          </a:endParaRPr>
        </a:p>
      </xdr:txBody>
    </xdr:sp>
    <xdr:clientData/>
  </xdr:twoCellAnchor>
  <xdr:twoCellAnchor>
    <xdr:from>
      <xdr:col>8</xdr:col>
      <xdr:colOff>579120</xdr:colOff>
      <xdr:row>1</xdr:row>
      <xdr:rowOff>38100</xdr:rowOff>
    </xdr:from>
    <xdr:to>
      <xdr:col>11</xdr:col>
      <xdr:colOff>419100</xdr:colOff>
      <xdr:row>2</xdr:row>
      <xdr:rowOff>861060</xdr:rowOff>
    </xdr:to>
    <xdr:sp macro="" textlink="">
      <xdr:nvSpPr>
        <xdr:cNvPr id="15" name="TextBox 14">
          <a:extLst>
            <a:ext uri="{FF2B5EF4-FFF2-40B4-BE49-F238E27FC236}">
              <a16:creationId xmlns:a16="http://schemas.microsoft.com/office/drawing/2014/main" id="{5C298819-A02B-B1B0-0E4A-AA7CEC3BFAFE}"/>
            </a:ext>
          </a:extLst>
        </xdr:cNvPr>
        <xdr:cNvSpPr txBox="1"/>
      </xdr:nvSpPr>
      <xdr:spPr>
        <a:xfrm>
          <a:off x="5455920" y="769620"/>
          <a:ext cx="1668780" cy="1005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tx1"/>
              </a:solidFill>
            </a:rPr>
            <a:t>HIGHEST SALARY</a:t>
          </a:r>
        </a:p>
        <a:p>
          <a:pPr algn="ctr"/>
          <a:r>
            <a:rPr lang="en-IN" sz="2800" b="1">
              <a:solidFill>
                <a:schemeClr val="accent1"/>
              </a:solidFill>
            </a:rPr>
            <a:t>₹2,93,410</a:t>
          </a:r>
        </a:p>
        <a:p>
          <a:pPr algn="ctr"/>
          <a:endParaRPr lang="en-IN" sz="2800" b="1">
            <a:solidFill>
              <a:schemeClr val="accent1"/>
            </a:solidFill>
          </a:endParaRPr>
        </a:p>
        <a:p>
          <a:pPr algn="ctr"/>
          <a:endParaRPr lang="en-IN" sz="1400" b="1">
            <a:solidFill>
              <a:schemeClr val="tx1"/>
            </a:solidFill>
          </a:endParaRPr>
        </a:p>
      </xdr:txBody>
    </xdr:sp>
    <xdr:clientData/>
  </xdr:twoCellAnchor>
  <xdr:twoCellAnchor>
    <xdr:from>
      <xdr:col>17</xdr:col>
      <xdr:colOff>350520</xdr:colOff>
      <xdr:row>1</xdr:row>
      <xdr:rowOff>38100</xdr:rowOff>
    </xdr:from>
    <xdr:to>
      <xdr:col>20</xdr:col>
      <xdr:colOff>76200</xdr:colOff>
      <xdr:row>2</xdr:row>
      <xdr:rowOff>899160</xdr:rowOff>
    </xdr:to>
    <xdr:sp macro="" textlink="">
      <xdr:nvSpPr>
        <xdr:cNvPr id="16" name="TextBox 15">
          <a:extLst>
            <a:ext uri="{FF2B5EF4-FFF2-40B4-BE49-F238E27FC236}">
              <a16:creationId xmlns:a16="http://schemas.microsoft.com/office/drawing/2014/main" id="{19279706-8133-E90B-F587-6A59AA1E8C35}"/>
            </a:ext>
          </a:extLst>
        </xdr:cNvPr>
        <xdr:cNvSpPr txBox="1"/>
      </xdr:nvSpPr>
      <xdr:spPr>
        <a:xfrm>
          <a:off x="10713720" y="769620"/>
          <a:ext cx="1554480" cy="1043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tx1"/>
              </a:solidFill>
            </a:rPr>
            <a:t>AVERAGE EXPERIENCE</a:t>
          </a:r>
        </a:p>
        <a:p>
          <a:pPr algn="ctr"/>
          <a:r>
            <a:rPr lang="en-IN" sz="2800" b="0">
              <a:solidFill>
                <a:schemeClr val="accent1"/>
              </a:solidFill>
            </a:rPr>
            <a:t>21</a:t>
          </a:r>
          <a:r>
            <a:rPr lang="en-IN" sz="2800" b="0" baseline="0">
              <a:solidFill>
                <a:schemeClr val="accent1"/>
              </a:solidFill>
            </a:rPr>
            <a:t> YEARS</a:t>
          </a:r>
          <a:endParaRPr lang="en-IN" sz="2800" b="0">
            <a:solidFill>
              <a:schemeClr val="accent1"/>
            </a:solidFill>
          </a:endParaRPr>
        </a:p>
      </xdr:txBody>
    </xdr:sp>
    <xdr:clientData/>
  </xdr:twoCellAnchor>
  <xdr:twoCellAnchor>
    <xdr:from>
      <xdr:col>7</xdr:col>
      <xdr:colOff>403860</xdr:colOff>
      <xdr:row>37</xdr:row>
      <xdr:rowOff>175260</xdr:rowOff>
    </xdr:from>
    <xdr:to>
      <xdr:col>15</xdr:col>
      <xdr:colOff>99060</xdr:colOff>
      <xdr:row>52</xdr:row>
      <xdr:rowOff>175260</xdr:rowOff>
    </xdr:to>
    <xdr:graphicFrame macro="">
      <xdr:nvGraphicFramePr>
        <xdr:cNvPr id="5" name="Chart 4">
          <a:extLst>
            <a:ext uri="{FF2B5EF4-FFF2-40B4-BE49-F238E27FC236}">
              <a16:creationId xmlns:a16="http://schemas.microsoft.com/office/drawing/2014/main" id="{C6A6C7EA-B0C7-47A3-AAF2-C38ED1AB9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213360</xdr:colOff>
      <xdr:row>5</xdr:row>
      <xdr:rowOff>121920</xdr:rowOff>
    </xdr:from>
    <xdr:to>
      <xdr:col>10</xdr:col>
      <xdr:colOff>228600</xdr:colOff>
      <xdr:row>20</xdr:row>
      <xdr:rowOff>114300</xdr:rowOff>
    </xdr:to>
    <xdr:graphicFrame macro="">
      <xdr:nvGraphicFramePr>
        <xdr:cNvPr id="3" name="Chart 2">
          <a:extLst>
            <a:ext uri="{FF2B5EF4-FFF2-40B4-BE49-F238E27FC236}">
              <a16:creationId xmlns:a16="http://schemas.microsoft.com/office/drawing/2014/main" id="{5C3A048B-BB21-4B79-922F-6ED3A99F28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22860</xdr:colOff>
      <xdr:row>6</xdr:row>
      <xdr:rowOff>15240</xdr:rowOff>
    </xdr:from>
    <xdr:to>
      <xdr:col>12</xdr:col>
      <xdr:colOff>327660</xdr:colOff>
      <xdr:row>21</xdr:row>
      <xdr:rowOff>15240</xdr:rowOff>
    </xdr:to>
    <xdr:graphicFrame macro="">
      <xdr:nvGraphicFramePr>
        <xdr:cNvPr id="3" name="Chart 2">
          <a:extLst>
            <a:ext uri="{FF2B5EF4-FFF2-40B4-BE49-F238E27FC236}">
              <a16:creationId xmlns:a16="http://schemas.microsoft.com/office/drawing/2014/main" id="{DDBAA0ED-B2C9-49BA-A303-39A8D4E7A9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4</xdr:row>
      <xdr:rowOff>83820</xdr:rowOff>
    </xdr:from>
    <xdr:to>
      <xdr:col>12</xdr:col>
      <xdr:colOff>320040</xdr:colOff>
      <xdr:row>19</xdr:row>
      <xdr:rowOff>83820</xdr:rowOff>
    </xdr:to>
    <xdr:graphicFrame macro="">
      <xdr:nvGraphicFramePr>
        <xdr:cNvPr id="2" name="Chart 1">
          <a:extLst>
            <a:ext uri="{FF2B5EF4-FFF2-40B4-BE49-F238E27FC236}">
              <a16:creationId xmlns:a16="http://schemas.microsoft.com/office/drawing/2014/main" id="{CC8442E5-8FF2-74FB-6E24-5DA8DE48BD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510540</xdr:colOff>
      <xdr:row>2</xdr:row>
      <xdr:rowOff>160020</xdr:rowOff>
    </xdr:from>
    <xdr:to>
      <xdr:col>12</xdr:col>
      <xdr:colOff>205740</xdr:colOff>
      <xdr:row>17</xdr:row>
      <xdr:rowOff>160020</xdr:rowOff>
    </xdr:to>
    <xdr:graphicFrame macro="">
      <xdr:nvGraphicFramePr>
        <xdr:cNvPr id="2" name="Chart 1">
          <a:extLst>
            <a:ext uri="{FF2B5EF4-FFF2-40B4-BE49-F238E27FC236}">
              <a16:creationId xmlns:a16="http://schemas.microsoft.com/office/drawing/2014/main" id="{CFC587AB-7A40-649F-766B-AC11486028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487680</xdr:colOff>
      <xdr:row>3</xdr:row>
      <xdr:rowOff>144780</xdr:rowOff>
    </xdr:from>
    <xdr:to>
      <xdr:col>10</xdr:col>
      <xdr:colOff>579120</xdr:colOff>
      <xdr:row>18</xdr:row>
      <xdr:rowOff>30480</xdr:rowOff>
    </xdr:to>
    <xdr:graphicFrame macro="">
      <xdr:nvGraphicFramePr>
        <xdr:cNvPr id="3" name="Chart 2">
          <a:extLst>
            <a:ext uri="{FF2B5EF4-FFF2-40B4-BE49-F238E27FC236}">
              <a16:creationId xmlns:a16="http://schemas.microsoft.com/office/drawing/2014/main" id="{74409104-59EE-49AB-83FE-1990988BC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548640</xdr:colOff>
      <xdr:row>5</xdr:row>
      <xdr:rowOff>22860</xdr:rowOff>
    </xdr:from>
    <xdr:to>
      <xdr:col>10</xdr:col>
      <xdr:colOff>243840</xdr:colOff>
      <xdr:row>20</xdr:row>
      <xdr:rowOff>22860</xdr:rowOff>
    </xdr:to>
    <xdr:graphicFrame macro="">
      <xdr:nvGraphicFramePr>
        <xdr:cNvPr id="2" name="Chart 1">
          <a:extLst>
            <a:ext uri="{FF2B5EF4-FFF2-40B4-BE49-F238E27FC236}">
              <a16:creationId xmlns:a16="http://schemas.microsoft.com/office/drawing/2014/main" id="{93C14722-BABE-5229-9189-FD671D248B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693420</xdr:colOff>
      <xdr:row>6</xdr:row>
      <xdr:rowOff>160020</xdr:rowOff>
    </xdr:from>
    <xdr:to>
      <xdr:col>14</xdr:col>
      <xdr:colOff>53340</xdr:colOff>
      <xdr:row>21</xdr:row>
      <xdr:rowOff>160020</xdr:rowOff>
    </xdr:to>
    <xdr:graphicFrame macro="">
      <xdr:nvGraphicFramePr>
        <xdr:cNvPr id="3" name="Chart 2">
          <a:extLst>
            <a:ext uri="{FF2B5EF4-FFF2-40B4-BE49-F238E27FC236}">
              <a16:creationId xmlns:a16="http://schemas.microsoft.com/office/drawing/2014/main" id="{09C90D54-7F77-4FE5-A9C2-342C3CB9F3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dha Shajahan" refreshedDate="46278.594354513887" createdVersion="8" refreshedVersion="8" minRefreshableVersion="3" recordCount="500" xr:uid="{E7E8D1CC-FD5D-4B24-831D-832698CF9109}">
  <cacheSource type="worksheet">
    <worksheetSource ref="A1:J501" sheet="New data"/>
  </cacheSource>
  <cacheFields count="11">
    <cacheField name="Index" numFmtId="0">
      <sharedItems containsSemiMixedTypes="0" containsString="0" containsNumber="1" containsInteger="1" minValue="0" maxValue="499"/>
    </cacheField>
    <cacheField name="Employee_ID" numFmtId="0">
      <sharedItems containsSemiMixedTypes="0" containsString="0" containsNumber="1" containsInteger="1" minValue="1002" maxValue="9981"/>
    </cacheField>
    <cacheField name="Age" numFmtId="0">
      <sharedItems containsSemiMixedTypes="0" containsString="0" containsNumber="1" containsInteger="1" minValue="22" maxValue="64" count="43">
        <n v="60"/>
        <n v="28"/>
        <n v="30"/>
        <n v="38"/>
        <n v="61"/>
        <n v="31"/>
        <n v="64"/>
        <n v="33"/>
        <n v="34"/>
        <n v="23"/>
        <n v="51"/>
        <n v="43"/>
        <n v="41"/>
        <n v="25"/>
        <n v="45"/>
        <n v="56"/>
        <n v="32"/>
        <n v="49"/>
        <n v="52"/>
        <n v="47"/>
        <n v="37"/>
        <n v="54"/>
        <n v="48"/>
        <n v="62"/>
        <n v="44"/>
        <n v="40"/>
        <n v="22"/>
        <n v="42"/>
        <n v="50"/>
        <n v="46"/>
        <n v="63"/>
        <n v="53"/>
        <n v="59"/>
        <n v="36"/>
        <n v="35"/>
        <n v="26"/>
        <n v="27"/>
        <n v="58"/>
        <n v="24"/>
        <n v="29"/>
        <n v="55"/>
        <n v="57"/>
        <n v="39"/>
      </sharedItems>
    </cacheField>
    <cacheField name="Department" numFmtId="0">
      <sharedItems count="5">
        <s v="Finance"/>
        <s v="Sales"/>
        <s v="Marketing"/>
        <s v="HR"/>
        <s v="IT"/>
      </sharedItems>
    </cacheField>
    <cacheField name="Is_Manager" numFmtId="0">
      <sharedItems count="2">
        <b v="0"/>
        <b v="1"/>
      </sharedItems>
    </cacheField>
    <cacheField name="Join_Date" numFmtId="14">
      <sharedItems containsSemiMixedTypes="0" containsNonDate="0" containsDate="1" containsString="0" minDate="1970-01-13T00:00:00" maxDate="2025-10-02T00:00:00" count="495">
        <d v="1994-03-24T00:00:00"/>
        <d v="1979-12-08T00:00:00"/>
        <d v="1998-09-25T00:00:00"/>
        <d v="2011-11-23T00:00:00"/>
        <d v="1976-10-08T00:00:00"/>
        <d v="1982-06-07T00:00:00"/>
        <d v="1981-11-12T00:00:00"/>
        <d v="1983-09-28T00:00:00"/>
        <d v="2021-01-22T00:00:00"/>
        <d v="2014-10-03T00:00:00"/>
        <d v="1974-03-12T00:00:00"/>
        <d v="1991-06-08T00:00:00"/>
        <d v="2015-04-22T00:00:00"/>
        <d v="1984-08-07T00:00:00"/>
        <d v="2004-11-17T00:00:00"/>
        <d v="1982-11-04T00:00:00"/>
        <d v="2001-03-22T00:00:00"/>
        <d v="2023-11-23T00:00:00"/>
        <d v="2002-05-02T00:00:00"/>
        <d v="1992-10-09T00:00:00"/>
        <d v="1973-05-13T00:00:00"/>
        <d v="2009-10-31T00:00:00"/>
        <d v="2013-07-29T00:00:00"/>
        <d v="2014-06-12T00:00:00"/>
        <d v="1985-02-13T00:00:00"/>
        <d v="2009-03-13T00:00:00"/>
        <d v="1996-03-20T00:00:00"/>
        <d v="1972-02-13T00:00:00"/>
        <d v="2008-03-10T00:00:00"/>
        <d v="1980-07-01T00:00:00"/>
        <d v="2004-09-02T00:00:00"/>
        <d v="1976-01-13T00:00:00"/>
        <d v="1994-07-22T00:00:00"/>
        <d v="1976-08-09T00:00:00"/>
        <d v="2019-03-03T00:00:00"/>
        <d v="1972-11-15T00:00:00"/>
        <d v="1971-09-28T00:00:00"/>
        <d v="2024-08-06T00:00:00"/>
        <d v="1988-09-17T00:00:00"/>
        <d v="1977-06-23T00:00:00"/>
        <d v="2008-08-10T00:00:00"/>
        <d v="1994-09-16T00:00:00"/>
        <d v="2021-02-04T00:00:00"/>
        <d v="1974-02-20T00:00:00"/>
        <d v="2022-04-21T00:00:00"/>
        <d v="1982-01-11T00:00:00"/>
        <d v="2019-05-11T00:00:00"/>
        <d v="2000-01-14T00:00:00"/>
        <d v="2006-09-01T00:00:00"/>
        <d v="2012-06-09T00:00:00"/>
        <d v="1975-04-15T00:00:00"/>
        <d v="1994-12-18T00:00:00"/>
        <d v="1987-10-22T00:00:00"/>
        <d v="2020-02-08T00:00:00"/>
        <d v="2013-11-07T00:00:00"/>
        <d v="2003-03-12T00:00:00"/>
        <d v="1974-05-21T00:00:00"/>
        <d v="1990-04-11T00:00:00"/>
        <d v="1987-06-20T00:00:00"/>
        <d v="1976-10-19T00:00:00"/>
        <d v="2008-09-18T00:00:00"/>
        <d v="2004-08-21T00:00:00"/>
        <d v="2008-09-24T00:00:00"/>
        <d v="1976-04-01T00:00:00"/>
        <d v="2005-06-25T00:00:00"/>
        <d v="2000-05-25T00:00:00"/>
        <d v="1976-05-08T00:00:00"/>
        <d v="2002-06-21T00:00:00"/>
        <d v="1997-01-28T00:00:00"/>
        <d v="2019-08-04T00:00:00"/>
        <d v="1974-06-04T00:00:00"/>
        <d v="1991-05-11T00:00:00"/>
        <d v="1992-02-07T00:00:00"/>
        <d v="1992-09-04T00:00:00"/>
        <d v="1997-03-24T00:00:00"/>
        <d v="1983-05-10T00:00:00"/>
        <d v="2022-12-16T00:00:00"/>
        <d v="1971-02-23T00:00:00"/>
        <d v="1980-02-29T00:00:00"/>
        <d v="2013-06-16T00:00:00"/>
        <d v="1974-11-01T00:00:00"/>
        <d v="2012-11-24T00:00:00"/>
        <d v="2015-08-11T00:00:00"/>
        <d v="1976-07-21T00:00:00"/>
        <d v="2008-09-26T00:00:00"/>
        <d v="1996-04-10T00:00:00"/>
        <d v="1997-04-13T00:00:00"/>
        <d v="2004-05-21T00:00:00"/>
        <d v="2020-11-15T00:00:00"/>
        <d v="1989-07-21T00:00:00"/>
        <d v="2025-10-01T00:00:00"/>
        <d v="1981-12-31T00:00:00"/>
        <d v="2006-04-28T00:00:00"/>
        <d v="2013-12-21T00:00:00"/>
        <d v="2009-02-12T00:00:00"/>
        <d v="2004-01-02T00:00:00"/>
        <d v="2018-08-10T00:00:00"/>
        <d v="2017-08-07T00:00:00"/>
        <d v="2023-09-18T00:00:00"/>
        <d v="2005-07-08T00:00:00"/>
        <d v="2025-01-13T00:00:00"/>
        <d v="1985-08-29T00:00:00"/>
        <d v="1984-06-06T00:00:00"/>
        <d v="2013-07-13T00:00:00"/>
        <d v="1991-04-21T00:00:00"/>
        <d v="1975-09-24T00:00:00"/>
        <d v="1987-05-06T00:00:00"/>
        <d v="1997-06-27T00:00:00"/>
        <d v="2022-08-10T00:00:00"/>
        <d v="1996-11-20T00:00:00"/>
        <d v="1978-08-21T00:00:00"/>
        <d v="1985-05-02T00:00:00"/>
        <d v="1984-10-06T00:00:00"/>
        <d v="2007-08-10T00:00:00"/>
        <d v="2016-08-06T00:00:00"/>
        <d v="2002-08-20T00:00:00"/>
        <d v="2010-01-12T00:00:00"/>
        <d v="2012-02-05T00:00:00"/>
        <d v="1978-10-23T00:00:00"/>
        <d v="2006-10-24T00:00:00"/>
        <d v="1985-04-10T00:00:00"/>
        <d v="2006-05-14T00:00:00"/>
        <d v="2006-05-04T00:00:00"/>
        <d v="2017-12-26T00:00:00"/>
        <d v="2020-05-06T00:00:00"/>
        <d v="1979-04-07T00:00:00"/>
        <d v="2018-03-05T00:00:00"/>
        <d v="1984-08-29T00:00:00"/>
        <d v="2018-04-20T00:00:00"/>
        <d v="2016-09-17T00:00:00"/>
        <d v="2003-05-02T00:00:00"/>
        <d v="2010-06-04T00:00:00"/>
        <d v="2017-04-09T00:00:00"/>
        <d v="1989-05-10T00:00:00"/>
        <d v="2014-08-07T00:00:00"/>
        <d v="1983-03-26T00:00:00"/>
        <d v="1983-08-25T00:00:00"/>
        <d v="2014-04-17T00:00:00"/>
        <d v="1990-11-04T00:00:00"/>
        <d v="2008-02-23T00:00:00"/>
        <d v="1975-10-27T00:00:00"/>
        <d v="2003-03-06T00:00:00"/>
        <d v="2006-05-02T00:00:00"/>
        <d v="1998-03-29T00:00:00"/>
        <d v="2001-07-06T00:00:00"/>
        <d v="1991-09-13T00:00:00"/>
        <d v="2017-12-13T00:00:00"/>
        <d v="1984-09-11T00:00:00"/>
        <d v="2000-03-18T00:00:00"/>
        <d v="1978-08-17T00:00:00"/>
        <d v="1971-05-16T00:00:00"/>
        <d v="2017-07-07T00:00:00"/>
        <d v="2005-01-29T00:00:00"/>
        <d v="1984-04-19T00:00:00"/>
        <d v="1997-03-28T00:00:00"/>
        <d v="1977-09-24T00:00:00"/>
        <d v="2016-06-02T00:00:00"/>
        <d v="2002-09-03T00:00:00"/>
        <d v="1975-08-10T00:00:00"/>
        <d v="1973-08-21T00:00:00"/>
        <d v="1992-03-05T00:00:00"/>
        <d v="2009-12-18T00:00:00"/>
        <d v="1982-02-01T00:00:00"/>
        <d v="1977-11-25T00:00:00"/>
        <d v="2006-09-27T00:00:00"/>
        <d v="1972-05-21T00:00:00"/>
        <d v="2008-09-27T00:00:00"/>
        <d v="1998-08-05T00:00:00"/>
        <d v="1983-07-26T00:00:00"/>
        <d v="1982-12-19T00:00:00"/>
        <d v="1997-05-31T00:00:00"/>
        <d v="1989-04-04T00:00:00"/>
        <d v="1995-09-29T00:00:00"/>
        <d v="2020-06-12T00:00:00"/>
        <d v="1991-01-17T00:00:00"/>
        <d v="2004-03-13T00:00:00"/>
        <d v="1981-06-04T00:00:00"/>
        <d v="2005-01-28T00:00:00"/>
        <d v="2018-09-20T00:00:00"/>
        <d v="2002-07-21T00:00:00"/>
        <d v="1988-06-25T00:00:00"/>
        <d v="2016-11-10T00:00:00"/>
        <d v="1973-02-05T00:00:00"/>
        <d v="1993-12-13T00:00:00"/>
        <d v="1995-04-25T00:00:00"/>
        <d v="2007-03-28T00:00:00"/>
        <d v="1974-08-31T00:00:00"/>
        <d v="1981-05-27T00:00:00"/>
        <d v="2012-06-21T00:00:00"/>
        <d v="1992-05-02T00:00:00"/>
        <d v="1971-09-03T00:00:00"/>
        <d v="2005-09-11T00:00:00"/>
        <d v="1992-01-06T00:00:00"/>
        <d v="1981-12-03T00:00:00"/>
        <d v="2013-05-27T00:00:00"/>
        <d v="2022-04-26T00:00:00"/>
        <d v="1981-02-21T00:00:00"/>
        <d v="2023-09-28T00:00:00"/>
        <d v="1989-12-19T00:00:00"/>
        <d v="1983-08-02T00:00:00"/>
        <d v="2013-12-24T00:00:00"/>
        <d v="1973-07-08T00:00:00"/>
        <d v="2014-11-10T00:00:00"/>
        <d v="2005-06-10T00:00:00"/>
        <d v="1991-10-14T00:00:00"/>
        <d v="1976-11-21T00:00:00"/>
        <d v="1977-02-09T00:00:00"/>
        <d v="2009-02-13T00:00:00"/>
        <d v="2023-06-16T00:00:00"/>
        <d v="2018-04-28T00:00:00"/>
        <d v="2024-03-16T00:00:00"/>
        <d v="1999-03-24T00:00:00"/>
        <d v="2023-05-23T00:00:00"/>
        <d v="1980-11-24T00:00:00"/>
        <d v="2004-12-01T00:00:00"/>
        <d v="2014-05-09T00:00:00"/>
        <d v="1999-01-17T00:00:00"/>
        <d v="1978-07-18T00:00:00"/>
        <d v="2022-02-17T00:00:00"/>
        <d v="2003-04-16T00:00:00"/>
        <d v="2021-10-06T00:00:00"/>
        <d v="1976-07-29T00:00:00"/>
        <d v="1979-12-07T00:00:00"/>
        <d v="2006-07-02T00:00:00"/>
        <d v="1978-04-04T00:00:00"/>
        <d v="2020-07-17T00:00:00"/>
        <d v="2024-06-09T00:00:00"/>
        <d v="1996-08-01T00:00:00"/>
        <d v="2007-09-22T00:00:00"/>
        <d v="1988-02-24T00:00:00"/>
        <d v="1997-02-12T00:00:00"/>
        <d v="1972-06-01T00:00:00"/>
        <d v="1980-11-08T00:00:00"/>
        <d v="2012-05-05T00:00:00"/>
        <d v="2010-06-18T00:00:00"/>
        <d v="1972-07-15T00:00:00"/>
        <d v="1970-02-07T00:00:00"/>
        <d v="1981-04-22T00:00:00"/>
        <d v="1974-12-27T00:00:00"/>
        <d v="1979-02-17T00:00:00"/>
        <d v="2006-06-26T00:00:00"/>
        <d v="2001-06-10T00:00:00"/>
        <d v="2025-09-29T00:00:00"/>
        <d v="1991-06-26T00:00:00"/>
        <d v="1985-05-01T00:00:00"/>
        <d v="2005-01-08T00:00:00"/>
        <d v="1994-01-27T00:00:00"/>
        <d v="1983-02-17T00:00:00"/>
        <d v="2023-03-01T00:00:00"/>
        <d v="2005-11-01T00:00:00"/>
        <d v="2008-09-14T00:00:00"/>
        <d v="1996-07-19T00:00:00"/>
        <d v="2002-09-15T00:00:00"/>
        <d v="2009-11-13T00:00:00"/>
        <d v="1975-09-06T00:00:00"/>
        <d v="2009-03-11T00:00:00"/>
        <d v="2010-09-17T00:00:00"/>
        <d v="1991-03-26T00:00:00"/>
        <d v="1989-02-27T00:00:00"/>
        <d v="1979-01-14T00:00:00"/>
        <d v="1991-03-09T00:00:00"/>
        <d v="1970-07-27T00:00:00"/>
        <d v="2023-11-19T00:00:00"/>
        <d v="1984-08-02T00:00:00"/>
        <d v="2015-07-19T00:00:00"/>
        <d v="1993-12-06T00:00:00"/>
        <d v="1970-09-21T00:00:00"/>
        <d v="1992-05-08T00:00:00"/>
        <d v="2010-05-19T00:00:00"/>
        <d v="1972-02-07T00:00:00"/>
        <d v="2005-04-27T00:00:00"/>
        <d v="1983-07-07T00:00:00"/>
        <d v="1973-12-20T00:00:00"/>
        <d v="2018-07-04T00:00:00"/>
        <d v="1993-04-21T00:00:00"/>
        <d v="1987-11-27T00:00:00"/>
        <d v="1989-03-11T00:00:00"/>
        <d v="2001-08-12T00:00:00"/>
        <d v="2007-12-09T00:00:00"/>
        <d v="2019-10-28T00:00:00"/>
        <d v="1999-02-15T00:00:00"/>
        <d v="2022-07-25T00:00:00"/>
        <d v="2004-06-23T00:00:00"/>
        <d v="2022-02-23T00:00:00"/>
        <d v="1970-02-26T00:00:00"/>
        <d v="1998-12-31T00:00:00"/>
        <d v="2007-03-22T00:00:00"/>
        <d v="1990-05-22T00:00:00"/>
        <d v="2009-10-13T00:00:00"/>
        <d v="1999-06-25T00:00:00"/>
        <d v="2014-05-01T00:00:00"/>
        <d v="2023-07-29T00:00:00"/>
        <d v="1979-07-28T00:00:00"/>
        <d v="1970-05-02T00:00:00"/>
        <d v="2016-01-11T00:00:00"/>
        <d v="1998-06-29T00:00:00"/>
        <d v="1980-10-08T00:00:00"/>
        <d v="2009-10-11T00:00:00"/>
        <d v="2013-10-23T00:00:00"/>
        <d v="1980-11-27T00:00:00"/>
        <d v="2006-10-14T00:00:00"/>
        <d v="1994-05-29T00:00:00"/>
        <d v="1970-03-31T00:00:00"/>
        <d v="1974-11-11T00:00:00"/>
        <d v="2008-11-14T00:00:00"/>
        <d v="2022-11-17T00:00:00"/>
        <d v="2012-06-04T00:00:00"/>
        <d v="2005-03-24T00:00:00"/>
        <d v="2018-02-12T00:00:00"/>
        <d v="1973-02-12T00:00:00"/>
        <d v="1998-07-31T00:00:00"/>
        <d v="1984-05-31T00:00:00"/>
        <d v="2018-10-24T00:00:00"/>
        <d v="2010-03-16T00:00:00"/>
        <d v="2007-04-22T00:00:00"/>
        <d v="1983-10-22T00:00:00"/>
        <d v="1994-04-26T00:00:00"/>
        <d v="2008-10-22T00:00:00"/>
        <d v="2018-02-04T00:00:00"/>
        <d v="2019-07-26T00:00:00"/>
        <d v="1980-11-01T00:00:00"/>
        <d v="2011-08-19T00:00:00"/>
        <d v="1981-09-10T00:00:00"/>
        <d v="1992-07-12T00:00:00"/>
        <d v="1990-04-07T00:00:00"/>
        <d v="2002-08-23T00:00:00"/>
        <d v="2016-12-26T00:00:00"/>
        <d v="1997-05-30T00:00:00"/>
        <d v="2008-07-02T00:00:00"/>
        <d v="2009-05-28T00:00:00"/>
        <d v="2004-04-05T00:00:00"/>
        <d v="1997-11-23T00:00:00"/>
        <d v="2001-01-08T00:00:00"/>
        <d v="1985-03-23T00:00:00"/>
        <d v="1989-02-01T00:00:00"/>
        <d v="2000-07-16T00:00:00"/>
        <d v="1990-11-14T00:00:00"/>
        <d v="1970-09-19T00:00:00"/>
        <d v="2017-10-13T00:00:00"/>
        <d v="2020-02-25T00:00:00"/>
        <d v="1999-06-17T00:00:00"/>
        <d v="1984-04-01T00:00:00"/>
        <d v="1981-04-26T00:00:00"/>
        <d v="2021-11-17T00:00:00"/>
        <d v="1996-03-10T00:00:00"/>
        <d v="1996-03-16T00:00:00"/>
        <d v="1999-02-23T00:00:00"/>
        <d v="1983-12-22T00:00:00"/>
        <d v="2005-09-01T00:00:00"/>
        <d v="1973-08-07T00:00:00"/>
        <d v="1986-04-06T00:00:00"/>
        <d v="1986-10-11T00:00:00"/>
        <d v="1975-11-14T00:00:00"/>
        <d v="1996-04-09T00:00:00"/>
        <d v="2012-08-29T00:00:00"/>
        <d v="2014-04-30T00:00:00"/>
        <d v="2012-01-02T00:00:00"/>
        <d v="1996-07-01T00:00:00"/>
        <d v="2017-02-06T00:00:00"/>
        <d v="1998-08-24T00:00:00"/>
        <d v="1972-03-31T00:00:00"/>
        <d v="1992-10-29T00:00:00"/>
        <d v="2017-12-02T00:00:00"/>
        <d v="2017-07-16T00:00:00"/>
        <d v="2010-08-31T00:00:00"/>
        <d v="2018-10-06T00:00:00"/>
        <d v="2006-01-01T00:00:00"/>
        <d v="1994-03-01T00:00:00"/>
        <d v="1988-09-25T00:00:00"/>
        <d v="2010-03-07T00:00:00"/>
        <d v="1989-09-29T00:00:00"/>
        <d v="1998-07-14T00:00:00"/>
        <d v="1995-06-14T00:00:00"/>
        <d v="1976-06-03T00:00:00"/>
        <d v="2020-06-29T00:00:00"/>
        <d v="2025-01-09T00:00:00"/>
        <d v="2003-05-08T00:00:00"/>
        <d v="2001-02-09T00:00:00"/>
        <d v="1990-06-13T00:00:00"/>
        <d v="2012-12-18T00:00:00"/>
        <d v="1978-07-01T00:00:00"/>
        <d v="2020-05-22T00:00:00"/>
        <d v="2000-05-27T00:00:00"/>
        <d v="1991-11-22T00:00:00"/>
        <d v="1980-03-21T00:00:00"/>
        <d v="2016-05-16T00:00:00"/>
        <d v="2015-10-21T00:00:00"/>
        <d v="2014-04-26T00:00:00"/>
        <d v="1977-08-15T00:00:00"/>
        <d v="1983-05-09T00:00:00"/>
        <d v="1988-03-28T00:00:00"/>
        <d v="1973-11-24T00:00:00"/>
        <d v="2018-04-16T00:00:00"/>
        <d v="2017-08-23T00:00:00"/>
        <d v="1987-01-24T00:00:00"/>
        <d v="2017-12-12T00:00:00"/>
        <d v="2003-07-29T00:00:00"/>
        <d v="1984-11-26T00:00:00"/>
        <d v="1976-12-18T00:00:00"/>
        <d v="1976-07-13T00:00:00"/>
        <d v="2004-05-16T00:00:00"/>
        <d v="1986-10-27T00:00:00"/>
        <d v="2003-01-09T00:00:00"/>
        <d v="2002-03-27T00:00:00"/>
        <d v="2020-05-02T00:00:00"/>
        <d v="2009-01-25T00:00:00"/>
        <d v="2018-04-21T00:00:00"/>
        <d v="1980-11-19T00:00:00"/>
        <d v="1993-05-15T00:00:00"/>
        <d v="1975-05-16T00:00:00"/>
        <d v="2011-10-16T00:00:00"/>
        <d v="1979-09-11T00:00:00"/>
        <d v="1983-03-08T00:00:00"/>
        <d v="2020-12-11T00:00:00"/>
        <d v="2003-04-19T00:00:00"/>
        <d v="1999-12-21T00:00:00"/>
        <d v="2012-02-29T00:00:00"/>
        <d v="2022-07-06T00:00:00"/>
        <d v="1994-02-28T00:00:00"/>
        <d v="1983-09-03T00:00:00"/>
        <d v="2015-11-24T00:00:00"/>
        <d v="2010-02-22T00:00:00"/>
        <d v="2006-04-20T00:00:00"/>
        <d v="1998-08-16T00:00:00"/>
        <d v="2022-01-09T00:00:00"/>
        <d v="1987-05-14T00:00:00"/>
        <d v="2021-05-30T00:00:00"/>
        <d v="1979-02-09T00:00:00"/>
        <d v="1978-07-13T00:00:00"/>
        <d v="2018-06-22T00:00:00"/>
        <d v="1999-07-11T00:00:00"/>
        <d v="1971-06-06T00:00:00"/>
        <d v="1985-11-29T00:00:00"/>
        <d v="1972-09-14T00:00:00"/>
        <d v="1993-06-27T00:00:00"/>
        <d v="1973-03-02T00:00:00"/>
        <d v="1982-06-09T00:00:00"/>
        <d v="2012-11-05T00:00:00"/>
        <d v="2018-12-17T00:00:00"/>
        <d v="2000-10-15T00:00:00"/>
        <d v="1972-05-24T00:00:00"/>
        <d v="1997-01-23T00:00:00"/>
        <d v="1987-09-01T00:00:00"/>
        <d v="1997-10-26T00:00:00"/>
        <d v="2003-06-07T00:00:00"/>
        <d v="2004-08-18T00:00:00"/>
        <d v="2007-06-14T00:00:00"/>
        <d v="2008-11-09T00:00:00"/>
        <d v="2006-08-16T00:00:00"/>
        <d v="2022-03-02T00:00:00"/>
        <d v="2021-03-12T00:00:00"/>
        <d v="2011-08-15T00:00:00"/>
        <d v="2023-10-28T00:00:00"/>
        <d v="1973-09-01T00:00:00"/>
        <d v="2021-02-09T00:00:00"/>
        <d v="1984-05-20T00:00:00"/>
        <d v="1995-11-20T00:00:00"/>
        <d v="1998-08-23T00:00:00"/>
        <d v="1988-03-24T00:00:00"/>
        <d v="1982-06-24T00:00:00"/>
        <d v="2000-09-11T00:00:00"/>
        <d v="1991-02-01T00:00:00"/>
        <d v="1987-06-08T00:00:00"/>
        <d v="2007-10-09T00:00:00"/>
        <d v="1985-09-08T00:00:00"/>
        <d v="1971-05-08T00:00:00"/>
        <d v="1976-10-21T00:00:00"/>
        <d v="2002-09-25T00:00:00"/>
        <d v="1978-06-08T00:00:00"/>
        <d v="2006-08-17T00:00:00"/>
        <d v="1974-04-23T00:00:00"/>
        <d v="2025-05-26T00:00:00"/>
        <d v="1986-11-28T00:00:00"/>
        <d v="1974-08-28T00:00:00"/>
        <d v="2011-07-17T00:00:00"/>
        <d v="2011-11-30T00:00:00"/>
        <d v="1973-03-27T00:00:00"/>
        <d v="1994-10-27T00:00:00"/>
        <d v="2011-12-04T00:00:00"/>
        <d v="1971-08-13T00:00:00"/>
        <d v="2018-11-15T00:00:00"/>
        <d v="1987-07-29T00:00:00"/>
        <d v="2001-04-14T00:00:00"/>
        <d v="2001-10-01T00:00:00"/>
        <d v="1974-05-27T00:00:00"/>
        <d v="1986-10-07T00:00:00"/>
        <d v="1975-11-22T00:00:00"/>
        <d v="1993-10-24T00:00:00"/>
        <d v="1973-01-17T00:00:00"/>
        <d v="2014-05-30T00:00:00"/>
        <d v="2013-12-04T00:00:00"/>
        <d v="2022-05-02T00:00:00"/>
        <d v="2025-04-22T00:00:00"/>
        <d v="1970-01-13T00:00:00"/>
        <d v="1988-06-21T00:00:00"/>
      </sharedItems>
      <fieldGroup par="10"/>
    </cacheField>
    <cacheField name="Experience" numFmtId="0">
      <sharedItems containsSemiMixedTypes="0" containsString="0" containsNumber="1" containsInteger="1" minValue="7" maxValue="36"/>
    </cacheField>
    <cacheField name="Salary" numFmtId="0">
      <sharedItems containsSemiMixedTypes="0" containsString="0" containsNumber="1" containsInteger="1" minValue="43177" maxValue="293410"/>
    </cacheField>
    <cacheField name="Months (Join_Date)" numFmtId="0" databaseField="0">
      <fieldGroup base="5">
        <rangePr groupBy="months" startDate="1970-01-13T00:00:00" endDate="2025-10-02T00:00:00"/>
        <groupItems count="14">
          <s v="&lt;13-01-1970"/>
          <s v="Jan"/>
          <s v="Feb"/>
          <s v="Mar"/>
          <s v="Apr"/>
          <s v="May"/>
          <s v="Jun"/>
          <s v="Jul"/>
          <s v="Aug"/>
          <s v="Sep"/>
          <s v="Oct"/>
          <s v="Nov"/>
          <s v="Dec"/>
          <s v="&gt;02-10-2025"/>
        </groupItems>
      </fieldGroup>
    </cacheField>
    <cacheField name="Quarters (Join_Date)" numFmtId="0" databaseField="0">
      <fieldGroup base="5">
        <rangePr groupBy="quarters" startDate="1970-01-13T00:00:00" endDate="2025-10-02T00:00:00"/>
        <groupItems count="6">
          <s v="&lt;13-01-1970"/>
          <s v="Qtr1"/>
          <s v="Qtr2"/>
          <s v="Qtr3"/>
          <s v="Qtr4"/>
          <s v="&gt;02-10-2025"/>
        </groupItems>
      </fieldGroup>
    </cacheField>
    <cacheField name="Years (Join_Date)" numFmtId="0" databaseField="0">
      <fieldGroup base="5">
        <rangePr groupBy="years" startDate="1970-01-13T00:00:00" endDate="2025-10-02T00:00:00"/>
        <groupItems count="58">
          <s v="&lt;13-01-1970"/>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2020"/>
          <s v="2021"/>
          <s v="2022"/>
          <s v="2023"/>
          <s v="2024"/>
          <s v="2025"/>
          <s v="&gt;02-10-2025"/>
        </groupItems>
      </fieldGroup>
    </cacheField>
  </cacheFields>
  <extLst>
    <ext xmlns:x14="http://schemas.microsoft.com/office/spreadsheetml/2009/9/main" uri="{725AE2AE-9491-48be-B2B4-4EB974FC3084}">
      <x14:pivotCacheDefinition pivotCacheId="82371286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dha Shajahan" refreshedDate="46278.639181597224" createdVersion="8" refreshedVersion="8" minRefreshableVersion="3" recordCount="500" xr:uid="{BBAD8F1C-0C51-4A4D-9400-77A9DD3705BE}">
  <cacheSource type="worksheet">
    <worksheetSource name="Table4"/>
  </cacheSource>
  <cacheFields count="9">
    <cacheField name="Index" numFmtId="0">
      <sharedItems containsSemiMixedTypes="0" containsString="0" containsNumber="1" containsInteger="1" minValue="0" maxValue="499" count="500">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sharedItems>
    </cacheField>
    <cacheField name="Employee_ID" numFmtId="0">
      <sharedItems containsSemiMixedTypes="0" containsString="0" containsNumber="1" containsInteger="1" minValue="1002" maxValue="9981" count="487">
        <n v="8794"/>
        <n v="8222"/>
        <n v="7643"/>
        <n v="2737"/>
        <n v="8557"/>
        <n v="8484"/>
        <n v="5854"/>
        <n v="6012"/>
        <n v="7462"/>
        <n v="7276"/>
        <n v="6621"/>
        <n v="7461"/>
        <n v="4181"/>
        <n v="9770"/>
        <n v="9138"/>
        <n v="7182"/>
        <n v="9901"/>
        <n v="9684"/>
        <n v="6645"/>
        <n v="4049"/>
        <n v="7857"/>
        <n v="3757"/>
        <n v="9062"/>
        <n v="4459"/>
        <n v="2444"/>
        <n v="3005"/>
        <n v="6797"/>
        <n v="5040"/>
        <n v="9477"/>
        <n v="3555"/>
        <n v="3490"/>
        <n v="3637"/>
        <n v="9629"/>
        <n v="6809"/>
        <n v="8660"/>
        <n v="3840"/>
        <n v="8354"/>
        <n v="9487"/>
        <n v="1501"/>
        <n v="3766"/>
        <n v="6867"/>
        <n v="3272"/>
        <n v="9299"/>
        <n v="3681"/>
        <n v="1311"/>
        <n v="7563"/>
        <n v="1977"/>
        <n v="2765"/>
        <n v="1385"/>
        <n v="4113"/>
        <n v="8791"/>
        <n v="7925"/>
        <n v="9867"/>
        <n v="3086"/>
        <n v="2797"/>
        <n v="2514"/>
        <n v="5404"/>
        <n v="7609"/>
        <n v="4788"/>
        <n v="1607"/>
        <n v="4605"/>
        <n v="9897"/>
        <n v="6593"/>
        <n v="2340"/>
        <n v="5328"/>
        <n v="5037"/>
        <n v="4527"/>
        <n v="6286"/>
        <n v="3154"/>
        <n v="9819"/>
        <n v="3438"/>
        <n v="8337"/>
        <n v="7233"/>
        <n v="7073"/>
        <n v="6850"/>
        <n v="7191"/>
        <n v="5208"/>
        <n v="5116"/>
        <n v="6328"/>
        <n v="3538"/>
        <n v="5826"/>
        <n v="6108"/>
        <n v="2867"/>
        <n v="4495"/>
        <n v="9750"/>
        <n v="9243"/>
        <n v="8462"/>
        <n v="8247"/>
        <n v="3054"/>
        <n v="3988"/>
        <n v="3300"/>
        <n v="9343"/>
        <n v="4183"/>
        <n v="4933"/>
        <n v="7374"/>
        <n v="1082"/>
        <n v="4204"/>
        <n v="9015"/>
        <n v="1706"/>
        <n v="3873"/>
        <n v="3229"/>
        <n v="6665"/>
        <n v="4680"/>
        <n v="1002"/>
        <n v="1137"/>
        <n v="7922"/>
        <n v="3307"/>
        <n v="8235"/>
        <n v="9113"/>
        <n v="6545"/>
        <n v="4987"/>
        <n v="9111"/>
        <n v="1061"/>
        <n v="6101"/>
        <n v="5338"/>
        <n v="3697"/>
        <n v="6704"/>
        <n v="1819"/>
        <n v="4425"/>
        <n v="2499"/>
        <n v="4801"/>
        <n v="8001"/>
        <n v="5263"/>
        <n v="7486"/>
        <n v="3717"/>
        <n v="1861"/>
        <n v="1204"/>
        <n v="8608"/>
        <n v="9278"/>
        <n v="1084"/>
        <n v="3305"/>
        <n v="1262"/>
        <n v="2478"/>
        <n v="4357"/>
        <n v="1802"/>
        <n v="4666"/>
        <n v="7327"/>
        <n v="5722"/>
        <n v="8172"/>
        <n v="2391"/>
        <n v="3536"/>
        <n v="7770"/>
        <n v="1571"/>
        <n v="2558"/>
        <n v="1197"/>
        <n v="4842"/>
        <n v="1809"/>
        <n v="2304"/>
        <n v="2759"/>
        <n v="8278"/>
        <n v="3797"/>
        <n v="1475"/>
        <n v="4165"/>
        <n v="3292"/>
        <n v="1740"/>
        <n v="5139"/>
        <n v="4522"/>
        <n v="2227"/>
        <n v="1859"/>
        <n v="9580"/>
        <n v="7166"/>
        <n v="2383"/>
        <n v="7950"/>
        <n v="5231"/>
        <n v="3709"/>
        <n v="5077"/>
        <n v="8159"/>
        <n v="2327"/>
        <n v="8869"/>
        <n v="1184"/>
        <n v="5290"/>
        <n v="3041"/>
        <n v="3995"/>
        <n v="3870"/>
        <n v="7949"/>
        <n v="3635"/>
        <n v="5679"/>
        <n v="5525"/>
        <n v="9645"/>
        <n v="9968"/>
        <n v="3953"/>
        <n v="4758"/>
        <n v="7427"/>
        <n v="8999"/>
        <n v="7658"/>
        <n v="4734"/>
        <n v="7336"/>
        <n v="4024"/>
        <n v="7752"/>
        <n v="9981"/>
        <n v="2003"/>
        <n v="9689"/>
        <n v="2869"/>
        <n v="9133"/>
        <n v="5618"/>
        <n v="2310"/>
        <n v="9025"/>
        <n v="2996"/>
        <n v="3003"/>
        <n v="7608"/>
        <n v="1121"/>
        <n v="1838"/>
        <n v="6586"/>
        <n v="4148"/>
        <n v="6227"/>
        <n v="6663"/>
        <n v="9650"/>
        <n v="6929"/>
        <n v="2863"/>
        <n v="8673"/>
        <n v="2820"/>
        <n v="6260"/>
        <n v="5238"/>
        <n v="1284"/>
        <n v="3247"/>
        <n v="1541"/>
        <n v="5004"/>
        <n v="2696"/>
        <n v="6407"/>
        <n v="2699"/>
        <n v="9383"/>
        <n v="2577"/>
        <n v="7746"/>
        <n v="5622"/>
        <n v="4002"/>
        <n v="1643"/>
        <n v="1459"/>
        <n v="3972"/>
        <n v="2714"/>
        <n v="5785"/>
        <n v="5746"/>
        <n v="9400"/>
        <n v="4676"/>
        <n v="9846"/>
        <n v="9108"/>
        <n v="3158"/>
        <n v="7361"/>
        <n v="1959"/>
        <n v="9340"/>
        <n v="9605"/>
        <n v="3361"/>
        <n v="4662"/>
        <n v="4844"/>
        <n v="6788"/>
        <n v="4450"/>
        <n v="9076"/>
        <n v="8936"/>
        <n v="3578"/>
        <n v="5624"/>
        <n v="3793"/>
        <n v="1804"/>
        <n v="5169"/>
        <n v="3417"/>
        <n v="2427"/>
        <n v="4976"/>
        <n v="2090"/>
        <n v="8575"/>
        <n v="6820"/>
        <n v="4433"/>
        <n v="2245"/>
        <n v="9271"/>
        <n v="9654"/>
        <n v="8985"/>
        <n v="2461"/>
        <n v="3151"/>
        <n v="7639"/>
        <n v="5916"/>
        <n v="9431"/>
        <n v="3881"/>
        <n v="4413"/>
        <n v="6996"/>
        <n v="9067"/>
        <n v="7346"/>
        <n v="5348"/>
        <n v="8654"/>
        <n v="6135"/>
        <n v="9855"/>
        <n v="4372"/>
        <n v="5929"/>
        <n v="3596"/>
        <n v="5750"/>
        <n v="6969"/>
        <n v="9046"/>
        <n v="4744"/>
        <n v="9279"/>
        <n v="8703"/>
        <n v="1390"/>
        <n v="3432"/>
        <n v="6674"/>
        <n v="9406"/>
        <n v="5410"/>
        <n v="1985"/>
        <n v="1586"/>
        <n v="6512"/>
        <n v="4130"/>
        <n v="1545"/>
        <n v="8876"/>
        <n v="6444"/>
        <n v="6852"/>
        <n v="7321"/>
        <n v="5556"/>
        <n v="2377"/>
        <n v="1169"/>
        <n v="3130"/>
        <n v="8296"/>
        <n v="1465"/>
        <n v="2460"/>
        <n v="5218"/>
        <n v="2582"/>
        <n v="7872"/>
        <n v="1548"/>
        <n v="6510"/>
        <n v="7404"/>
        <n v="6438"/>
        <n v="4847"/>
        <n v="7292"/>
        <n v="6925"/>
        <n v="2232"/>
        <n v="3471"/>
        <n v="3537"/>
        <n v="9164"/>
        <n v="6318"/>
        <n v="9734"/>
        <n v="5827"/>
        <n v="5708"/>
        <n v="9126"/>
        <n v="1862"/>
        <n v="3905"/>
        <n v="5504"/>
        <n v="2901"/>
        <n v="8229"/>
        <n v="9442"/>
        <n v="4796"/>
        <n v="1890"/>
        <n v="2321"/>
        <n v="6947"/>
        <n v="2401"/>
        <n v="3015"/>
        <n v="6354"/>
        <n v="9023"/>
        <n v="1279"/>
        <n v="5865"/>
        <n v="8816"/>
        <n v="7352"/>
        <n v="8570"/>
        <n v="7873"/>
        <n v="6812"/>
        <n v="6228"/>
        <n v="4009"/>
        <n v="8185"/>
        <n v="8399"/>
        <n v="4196"/>
        <n v="1944"/>
        <n v="4672"/>
        <n v="2424"/>
        <n v="3389"/>
        <n v="9010"/>
        <n v="7713"/>
        <n v="4303"/>
        <n v="7683"/>
        <n v="7362"/>
        <n v="1718"/>
        <n v="6548"/>
        <n v="6273"/>
        <n v="5076"/>
        <n v="6914"/>
        <n v="1068"/>
        <n v="1539"/>
        <n v="2565"/>
        <n v="7334"/>
        <n v="2974"/>
        <n v="2346"/>
        <n v="2800"/>
        <n v="4437"/>
        <n v="6007"/>
        <n v="2510"/>
        <n v="7197"/>
        <n v="5262"/>
        <n v="4315"/>
        <n v="8268"/>
        <n v="6197"/>
        <n v="6190"/>
        <n v="8585"/>
        <n v="4689"/>
        <n v="9048"/>
        <n v="7445"/>
        <n v="2129"/>
        <n v="2973"/>
        <n v="4334"/>
        <n v="3900"/>
        <n v="9317"/>
        <n v="7802"/>
        <n v="3189"/>
        <n v="2803"/>
        <n v="9086"/>
        <n v="9975"/>
        <n v="8328"/>
        <n v="1695"/>
        <n v="6633"/>
        <n v="5922"/>
        <n v="4364"/>
        <n v="9938"/>
        <n v="4845"/>
        <n v="8086"/>
        <n v="4245"/>
        <n v="6736"/>
        <n v="9276"/>
        <n v="4411"/>
        <n v="3693"/>
        <n v="1513"/>
        <n v="6094"/>
        <n v="9908"/>
        <n v="5991"/>
        <n v="8398"/>
        <n v="2660"/>
        <n v="7255"/>
        <n v="2687"/>
        <n v="8717"/>
        <n v="1471"/>
        <n v="3188"/>
        <n v="7435"/>
        <n v="2002"/>
        <n v="5880"/>
        <n v="7768"/>
        <n v="4407"/>
        <n v="4747"/>
        <n v="9893"/>
        <n v="1779"/>
        <n v="3531"/>
        <n v="9943"/>
        <n v="6308"/>
        <n v="4784"/>
        <n v="8665"/>
        <n v="8492"/>
        <n v="2639"/>
        <n v="3328"/>
        <n v="3255"/>
        <n v="4651"/>
        <n v="6391"/>
        <n v="9655"/>
        <n v="6856"/>
        <n v="7141"/>
        <n v="2259"/>
        <n v="5518"/>
        <n v="5641"/>
        <n v="8734"/>
        <n v="7473"/>
        <n v="8293"/>
        <n v="1014"/>
        <n v="4824"/>
        <n v="8260"/>
        <n v="8101"/>
        <n v="1488"/>
        <n v="9373"/>
        <n v="2643"/>
        <n v="1498"/>
        <n v="1515"/>
        <n v="1919"/>
        <n v="4464"/>
        <n v="6062"/>
        <n v="8609"/>
        <n v="3523"/>
        <n v="7576"/>
        <n v="9175"/>
        <n v="4299"/>
        <n v="1747"/>
        <n v="5284"/>
        <n v="3907"/>
        <n v="3543"/>
        <n v="5168"/>
        <n v="2060"/>
        <n v="5476"/>
        <n v="5336"/>
        <n v="7226"/>
        <n v="7799"/>
        <n v="1518"/>
        <n v="5175"/>
        <n v="8349"/>
        <n v="2319"/>
        <n v="5357"/>
        <n v="6309"/>
        <n v="3740"/>
        <n v="8426"/>
        <n v="9810"/>
        <n v="5396"/>
        <n v="7546"/>
        <n v="7744"/>
      </sharedItems>
    </cacheField>
    <cacheField name="Age" numFmtId="0">
      <sharedItems containsSemiMixedTypes="0" containsString="0" containsNumber="1" containsInteger="1" minValue="22" maxValue="64"/>
    </cacheField>
    <cacheField name="Age  group" numFmtId="0">
      <sharedItems count="4">
        <s v="50+"/>
        <s v="20-29"/>
        <s v="30-39"/>
        <s v="40-49"/>
      </sharedItems>
    </cacheField>
    <cacheField name="Department" numFmtId="0">
      <sharedItems/>
    </cacheField>
    <cacheField name="Is_Manager" numFmtId="0">
      <sharedItems count="2">
        <b v="0"/>
        <b v="1"/>
      </sharedItems>
    </cacheField>
    <cacheField name="Join_Date" numFmtId="14">
      <sharedItems containsSemiMixedTypes="0" containsNonDate="0" containsDate="1" containsString="0" minDate="1970-01-13T00:00:00" maxDate="2025-10-02T00:00:00"/>
    </cacheField>
    <cacheField name="Experience" numFmtId="0">
      <sharedItems containsSemiMixedTypes="0" containsString="0" containsNumber="1" containsInteger="1" minValue="7" maxValue="36"/>
    </cacheField>
    <cacheField name="Salary" numFmtId="0">
      <sharedItems containsSemiMixedTypes="0" containsString="0" containsNumber="1" containsInteger="1" minValue="43177" maxValue="293410" count="500">
        <n v="238668"/>
        <n v="105995"/>
        <n v="96120"/>
        <n v="153525"/>
        <n v="249192"/>
        <n v="112443"/>
        <n v="269150"/>
        <n v="99541"/>
        <n v="119128"/>
        <n v="83249"/>
        <n v="201259"/>
        <n v="144477"/>
        <n v="148126"/>
        <n v="237357"/>
        <n v="158446"/>
        <n v="124601"/>
        <n v="209673"/>
        <n v="88325"/>
        <n v="117761"/>
        <n v="193695"/>
        <n v="223718"/>
        <n v="136877"/>
        <n v="201355"/>
        <n v="197155"/>
        <n v="181254"/>
        <n v="197009"/>
        <n v="201648"/>
        <n v="186028"/>
        <n v="201094"/>
        <n v="192419"/>
        <n v="103102"/>
        <n v="248038"/>
        <n v="178656"/>
        <n v="149831"/>
        <n v="137180"/>
        <n v="173071"/>
        <n v="177939"/>
        <n v="115812"/>
        <n v="159633"/>
        <n v="132927"/>
        <n v="208357"/>
        <n v="98088"/>
        <n v="162526"/>
        <n v="182251"/>
        <n v="222715"/>
        <n v="133435"/>
        <n v="130398"/>
        <n v="164496"/>
        <n v="158595"/>
        <n v="236259"/>
        <n v="174905"/>
        <n v="161581"/>
        <n v="210865"/>
        <n v="187209"/>
        <n v="216483"/>
        <n v="241732"/>
        <n v="100085"/>
        <n v="196599"/>
        <n v="203758"/>
        <n v="254771"/>
        <n v="221350"/>
        <n v="227840"/>
        <n v="118126"/>
        <n v="124811"/>
        <n v="138134"/>
        <n v="127124"/>
        <n v="151056"/>
        <n v="135177"/>
        <n v="99214"/>
        <n v="133866"/>
        <n v="127570"/>
        <n v="140250"/>
        <n v="212800"/>
        <n v="191346"/>
        <n v="160278"/>
        <n v="217985"/>
        <n v="172798"/>
        <n v="120869"/>
        <n v="186135"/>
        <n v="107313"/>
        <n v="189726"/>
        <n v="171530"/>
        <n v="271935"/>
        <n v="234900"/>
        <n v="181290"/>
        <n v="246555"/>
        <n v="191660"/>
        <n v="111511"/>
        <n v="148439"/>
        <n v="120884"/>
        <n v="94805"/>
        <n v="97135"/>
        <n v="220820"/>
        <n v="118043"/>
        <n v="223315"/>
        <n v="246738"/>
        <n v="191082"/>
        <n v="225302"/>
        <n v="142093"/>
        <n v="156162"/>
        <n v="134816"/>
        <n v="122745"/>
        <n v="186453"/>
        <n v="199561"/>
        <n v="204293"/>
        <n v="242531"/>
        <n v="103111"/>
        <n v="237496"/>
        <n v="193765"/>
        <n v="240281"/>
        <n v="176659"/>
        <n v="244973"/>
        <n v="160566"/>
        <n v="177312"/>
        <n v="92967"/>
        <n v="208044"/>
        <n v="225723"/>
        <n v="208426"/>
        <n v="279946"/>
        <n v="129970"/>
        <n v="225408"/>
        <n v="125760"/>
        <n v="92056"/>
        <n v="186546"/>
        <n v="215978"/>
        <n v="185892"/>
        <n v="158986"/>
        <n v="202823"/>
        <n v="198549"/>
        <n v="142300"/>
        <n v="232577"/>
        <n v="196293"/>
        <n v="185268"/>
        <n v="166636"/>
        <n v="94300"/>
        <n v="198827"/>
        <n v="190600"/>
        <n v="187430"/>
        <n v="166573"/>
        <n v="176961"/>
        <n v="206014"/>
        <n v="167653"/>
        <n v="138491"/>
        <n v="113663"/>
        <n v="195286"/>
        <n v="215637"/>
        <n v="170164"/>
        <n v="240851"/>
        <n v="78650"/>
        <n v="101767"/>
        <n v="237787"/>
        <n v="120289"/>
        <n v="229854"/>
        <n v="140462"/>
        <n v="137966"/>
        <n v="198685"/>
        <n v="97639"/>
        <n v="213234"/>
        <n v="223033"/>
        <n v="234249"/>
        <n v="172147"/>
        <n v="110715"/>
        <n v="181074"/>
        <n v="172103"/>
        <n v="121991"/>
        <n v="174787"/>
        <n v="200675"/>
        <n v="144719"/>
        <n v="198755"/>
        <n v="150320"/>
        <n v="196697"/>
        <n v="133598"/>
        <n v="152005"/>
        <n v="127810"/>
        <n v="245029"/>
        <n v="159567"/>
        <n v="165488"/>
        <n v="144373"/>
        <n v="209113"/>
        <n v="230159"/>
        <n v="242948"/>
        <n v="181627"/>
        <n v="185708"/>
        <n v="111947"/>
        <n v="201058"/>
        <n v="168451"/>
        <n v="57732"/>
        <n v="197413"/>
        <n v="121722"/>
        <n v="152895"/>
        <n v="117925"/>
        <n v="193844"/>
        <n v="121879"/>
        <n v="176397"/>
        <n v="250658"/>
        <n v="176752"/>
        <n v="123319"/>
        <n v="258573"/>
        <n v="150946"/>
        <n v="114361"/>
        <n v="257944"/>
        <n v="91127"/>
        <n v="273400"/>
        <n v="196459"/>
        <n v="132705"/>
        <n v="192494"/>
        <n v="164835"/>
        <n v="126137"/>
        <n v="200225"/>
        <n v="195891"/>
        <n v="156207"/>
        <n v="135734"/>
        <n v="109179"/>
        <n v="197005"/>
        <n v="89207"/>
        <n v="138009"/>
        <n v="233480"/>
        <n v="206244"/>
        <n v="207865"/>
        <n v="160057"/>
        <n v="135082"/>
        <n v="207482"/>
        <n v="144587"/>
        <n v="179459"/>
        <n v="235895"/>
        <n v="134299"/>
        <n v="134991"/>
        <n v="88841"/>
        <n v="184491"/>
        <n v="154542"/>
        <n v="158115"/>
        <n v="113899"/>
        <n v="85343"/>
        <n v="139873"/>
        <n v="246725"/>
        <n v="226201"/>
        <n v="212105"/>
        <n v="149179"/>
        <n v="115898"/>
        <n v="245207"/>
        <n v="163924"/>
        <n v="172224"/>
        <n v="144990"/>
        <n v="170676"/>
        <n v="181837"/>
        <n v="133509"/>
        <n v="234402"/>
        <n v="165971"/>
        <n v="105359"/>
        <n v="94383"/>
        <n v="198528"/>
        <n v="242369"/>
        <n v="182226"/>
        <n v="88117"/>
        <n v="242515"/>
        <n v="281861"/>
        <n v="242118"/>
        <n v="209490"/>
        <n v="89796"/>
        <n v="133309"/>
        <n v="242055"/>
        <n v="216452"/>
        <n v="175322"/>
        <n v="143008"/>
        <n v="188585"/>
        <n v="170616"/>
        <n v="76240"/>
        <n v="126615"/>
        <n v="229698"/>
        <n v="187784"/>
        <n v="138129"/>
        <n v="67144"/>
        <n v="239949"/>
        <n v="179365"/>
        <n v="187838"/>
        <n v="132450"/>
        <n v="205100"/>
        <n v="116747"/>
        <n v="163267"/>
        <n v="201417"/>
        <n v="81020"/>
        <n v="223674"/>
        <n v="210860"/>
        <n v="166151"/>
        <n v="221768"/>
        <n v="228336"/>
        <n v="83287"/>
        <n v="107405"/>
        <n v="108456"/>
        <n v="266769"/>
        <n v="220626"/>
        <n v="87783"/>
        <n v="222819"/>
        <n v="156891"/>
        <n v="166454"/>
        <n v="219860"/>
        <n v="119827"/>
        <n v="200843"/>
        <n v="134412"/>
        <n v="232716"/>
        <n v="103933"/>
        <n v="92047"/>
        <n v="172886"/>
        <n v="138827"/>
        <n v="180896"/>
        <n v="130190"/>
        <n v="215277"/>
        <n v="206424"/>
        <n v="183184"/>
        <n v="214559"/>
        <n v="108976"/>
        <n v="219409"/>
        <n v="227772"/>
        <n v="165170"/>
        <n v="234199"/>
        <n v="212050"/>
        <n v="249856"/>
        <n v="149464"/>
        <n v="124970"/>
        <n v="256982"/>
        <n v="243928"/>
        <n v="189606"/>
        <n v="124879"/>
        <n v="121239"/>
        <n v="75895"/>
        <n v="176472"/>
        <n v="212809"/>
        <n v="163828"/>
        <n v="108619"/>
        <n v="152992"/>
        <n v="154462"/>
        <n v="143605"/>
        <n v="117870"/>
        <n v="223902"/>
        <n v="115875"/>
        <n v="187168"/>
        <n v="265624"/>
        <n v="259400"/>
        <n v="113486"/>
        <n v="102162"/>
        <n v="200331"/>
        <n v="143134"/>
        <n v="152367"/>
        <n v="241831"/>
        <n v="174392"/>
        <n v="166153"/>
        <n v="116114"/>
        <n v="215298"/>
        <n v="161836"/>
        <n v="156464"/>
        <n v="161728"/>
        <n v="108822"/>
        <n v="242129"/>
        <n v="208439"/>
        <n v="132859"/>
        <n v="197639"/>
        <n v="78632"/>
        <n v="80817"/>
        <n v="169224"/>
        <n v="69736"/>
        <n v="172041"/>
        <n v="175269"/>
        <n v="96587"/>
        <n v="228121"/>
        <n v="219082"/>
        <n v="112660"/>
        <n v="192120"/>
        <n v="138446"/>
        <n v="248320"/>
        <n v="156711"/>
        <n v="226499"/>
        <n v="207647"/>
        <n v="150282"/>
        <n v="293410"/>
        <n v="66124"/>
        <n v="162792"/>
        <n v="169701"/>
        <n v="89021"/>
        <n v="253048"/>
        <n v="43177"/>
        <n v="103682"/>
        <n v="129947"/>
        <n v="227252"/>
        <n v="127305"/>
        <n v="184578"/>
        <n v="189031"/>
        <n v="242312"/>
        <n v="199412"/>
        <n v="181466"/>
        <n v="249787"/>
        <n v="75579"/>
        <n v="110956"/>
        <n v="205417"/>
        <n v="196804"/>
        <n v="171101"/>
        <n v="103203"/>
        <n v="120056"/>
        <n v="136030"/>
        <n v="225695"/>
        <n v="140411"/>
        <n v="169472"/>
        <n v="94602"/>
        <n v="176423"/>
        <n v="173046"/>
        <n v="82230"/>
        <n v="65079"/>
        <n v="194961"/>
        <n v="192619"/>
        <n v="123888"/>
        <n v="225741"/>
        <n v="221040"/>
        <n v="133650"/>
        <n v="93339"/>
        <n v="163242"/>
        <n v="126451"/>
        <n v="91619"/>
        <n v="171600"/>
        <n v="75749"/>
        <n v="146689"/>
        <n v="141159"/>
        <n v="143584"/>
        <n v="92136"/>
        <n v="204041"/>
        <n v="227146"/>
        <n v="107232"/>
        <n v="222824"/>
        <n v="162790"/>
        <n v="150069"/>
        <n v="172707"/>
        <n v="200491"/>
        <n v="247653"/>
        <n v="191755"/>
        <n v="125131"/>
        <n v="164265"/>
        <n v="109701"/>
        <n v="238477"/>
        <n v="193938"/>
        <n v="156976"/>
        <n v="229200"/>
        <n v="194985"/>
        <n v="150665"/>
        <n v="187991"/>
        <n v="202446"/>
        <n v="203933"/>
        <n v="234277"/>
        <n v="225715"/>
        <n v="75812"/>
        <n v="68134"/>
        <n v="155985"/>
        <n v="222685"/>
        <n v="220500"/>
        <n v="126388"/>
        <n v="169212"/>
        <n v="186015"/>
        <n v="217544"/>
        <n v="128767"/>
        <n v="216812"/>
        <n v="174984"/>
        <n v="192274"/>
        <n v="216683"/>
        <n v="184887"/>
        <n v="160580"/>
        <n v="245031"/>
        <n v="148735"/>
        <n v="150934"/>
        <n v="249071"/>
        <n v="235550"/>
        <n v="151124"/>
        <n v="140001"/>
        <n v="78834"/>
        <n v="82592"/>
        <n v="115688"/>
        <n v="263818"/>
        <n v="178139"/>
        <n v="194575"/>
        <n v="213467"/>
        <n v="155006"/>
        <n v="192646"/>
        <n v="232123"/>
        <n v="229395"/>
        <n v="202850"/>
        <n v="85536"/>
        <n v="172003"/>
        <n v="235111"/>
        <n v="248177"/>
        <n v="199358"/>
        <n v="189242"/>
        <n v="115170"/>
        <n v="285886"/>
        <n v="177664"/>
        <n v="113358"/>
        <n v="115037"/>
        <n v="183906"/>
        <n v="176978"/>
        <n v="257256"/>
        <n v="126088"/>
        <n v="118094"/>
        <n v="131208"/>
        <n v="224502"/>
        <n v="114758"/>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dha Shajahan" refreshedDate="46278.811192939815" backgroundQuery="1" createdVersion="8" refreshedVersion="8" minRefreshableVersion="3" recordCount="0" supportSubquery="1" supportAdvancedDrill="1" xr:uid="{93CB46CC-E435-42DD-B6F3-BEA79151C4D8}">
  <cacheSource type="external" connectionId="1"/>
  <cacheFields count="2">
    <cacheField name="[Table4].[Salary group].[Salary group]" caption="Salary group" numFmtId="0" hierarchy="10" level="1">
      <sharedItems count="5">
        <s v="0-50K"/>
        <s v="1.5-2L"/>
        <s v="1L-1.5L"/>
        <s v="2L+"/>
        <s v="50K-1L"/>
      </sharedItems>
    </cacheField>
    <cacheField name="[Measures].[Count of Employee_ID]" caption="Count of Employee_ID" numFmtId="0" hierarchy="14" level="32767"/>
  </cacheFields>
  <cacheHierarchies count="19">
    <cacheHierarchy uniqueName="[Table4].[Index]" caption="Index" attribute="1" defaultMemberUniqueName="[Table4].[Index].[All]" allUniqueName="[Table4].[Index].[All]" dimensionUniqueName="[Table4]" displayFolder="" count="2" memberValueDatatype="20" unbalanced="0"/>
    <cacheHierarchy uniqueName="[Table4].[Employee_ID]" caption="Employee_ID" attribute="1" defaultMemberUniqueName="[Table4].[Employee_ID].[All]" allUniqueName="[Table4].[Employee_ID].[All]" dimensionUniqueName="[Table4]" displayFolder="" count="2" memberValueDatatype="20" unbalanced="0"/>
    <cacheHierarchy uniqueName="[Table4].[Age]" caption="Age" attribute="1" defaultMemberUniqueName="[Table4].[Age].[All]" allUniqueName="[Table4].[Age].[All]" dimensionUniqueName="[Table4]" displayFolder="" count="2" memberValueDatatype="20" unbalanced="0"/>
    <cacheHierarchy uniqueName="[Table4].[Age  group]" caption="Age  group" attribute="1" defaultMemberUniqueName="[Table4].[Age  group].[All]" allUniqueName="[Table4].[Age  group].[All]" dimensionUniqueName="[Table4]" displayFolder="" count="2" memberValueDatatype="130" unbalanced="0"/>
    <cacheHierarchy uniqueName="[Table4].[Department]" caption="Department" attribute="1" defaultMemberUniqueName="[Table4].[Department].[All]" allUniqueName="[Table4].[Department].[All]" dimensionUniqueName="[Table4]" displayFolder="" count="2" memberValueDatatype="130" unbalanced="0"/>
    <cacheHierarchy uniqueName="[Table4].[Is_Manager]" caption="Is_Manager" attribute="1" defaultMemberUniqueName="[Table4].[Is_Manager].[All]" allUniqueName="[Table4].[Is_Manager].[All]" dimensionUniqueName="[Table4]" displayFolder="" count="2" memberValueDatatype="11" unbalanced="0"/>
    <cacheHierarchy uniqueName="[Table4].[Join_Date]" caption="Join_Date" attribute="1" time="1" defaultMemberUniqueName="[Table4].[Join_Date].[All]" allUniqueName="[Table4].[Join_Date].[All]" dimensionUniqueName="[Table4]" displayFolder="" count="2" memberValueDatatype="7" unbalanced="0"/>
    <cacheHierarchy uniqueName="[Table4].[Experience]" caption="Experience" attribute="1" defaultMemberUniqueName="[Table4].[Experience].[All]" allUniqueName="[Table4].[Experience].[All]" dimensionUniqueName="[Table4]" displayFolder="" count="2" memberValueDatatype="20" unbalanced="0"/>
    <cacheHierarchy uniqueName="[Table4].[Experience group]" caption="Experience group" attribute="1" defaultMemberUniqueName="[Table4].[Experience group].[All]" allUniqueName="[Table4].[Experience group].[All]" dimensionUniqueName="[Table4]" displayFolder="" count="2" memberValueDatatype="130" unbalanced="0"/>
    <cacheHierarchy uniqueName="[Table4].[Salary]" caption="Salary" attribute="1" defaultMemberUniqueName="[Table4].[Salary].[All]" allUniqueName="[Table4].[Salary].[All]" dimensionUniqueName="[Table4]" displayFolder="" count="2" memberValueDatatype="20" unbalanced="0"/>
    <cacheHierarchy uniqueName="[Table4].[Salary group]" caption="Salary group" attribute="1" defaultMemberUniqueName="[Table4].[Salary group].[All]" allUniqueName="[Table4].[Salary group].[All]" dimensionUniqueName="[Table4]" displayFolder="" count="2" memberValueDatatype="130" unbalanced="0">
      <fieldsUsage count="2">
        <fieldUsage x="-1"/>
        <fieldUsage x="0"/>
      </fieldsUsage>
    </cacheHierarchy>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Employee_ID]" caption="Sum of Employee_ID" measure="1" displayFolder="" measureGroup="Table4" count="0" hidden="1">
      <extLst>
        <ext xmlns:x15="http://schemas.microsoft.com/office/spreadsheetml/2010/11/main" uri="{B97F6D7D-B522-45F9-BDA1-12C45D357490}">
          <x15:cacheHierarchy aggregatedColumn="1"/>
        </ext>
      </extLst>
    </cacheHierarchy>
    <cacheHierarchy uniqueName="[Measures].[Count of Employee_ID]" caption="Count of Employee_ID" measure="1" displayFolder="" measureGroup="Table4"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Experience group]" caption="Count of Experience group" measure="1" displayFolder="" measureGroup="Table4" count="0" hidden="1">
      <extLst>
        <ext xmlns:x15="http://schemas.microsoft.com/office/spreadsheetml/2010/11/main" uri="{B97F6D7D-B522-45F9-BDA1-12C45D357490}">
          <x15:cacheHierarchy aggregatedColumn="8"/>
        </ext>
      </extLst>
    </cacheHierarchy>
    <cacheHierarchy uniqueName="[Measures].[Sum of Experience]" caption="Sum of Experience" measure="1" displayFolder="" measureGroup="Table4" count="0" hidden="1">
      <extLst>
        <ext xmlns:x15="http://schemas.microsoft.com/office/spreadsheetml/2010/11/main" uri="{B97F6D7D-B522-45F9-BDA1-12C45D357490}">
          <x15:cacheHierarchy aggregatedColumn="7"/>
        </ext>
      </extLst>
    </cacheHierarchy>
    <cacheHierarchy uniqueName="[Measures].[Average of Experience]" caption="Average of Experience" measure="1" displayFolder="" measureGroup="Table4" count="0" hidden="1">
      <extLst>
        <ext xmlns:x15="http://schemas.microsoft.com/office/spreadsheetml/2010/11/main" uri="{B97F6D7D-B522-45F9-BDA1-12C45D357490}">
          <x15:cacheHierarchy aggregatedColumn="7"/>
        </ext>
      </extLst>
    </cacheHierarchy>
    <cacheHierarchy uniqueName="[Measures].[Count of Experience]" caption="Count of Experience" measure="1" displayFolder="" measureGroup="Table4"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4" uniqueName="[Table4]" caption="Table4"/>
  </dimensions>
  <measureGroups count="1">
    <measureGroup name="Table4" caption="Table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dha Shajahan" refreshedDate="46278.811195023147" backgroundQuery="1" createdVersion="8" refreshedVersion="8" minRefreshableVersion="3" recordCount="0" supportSubquery="1" supportAdvancedDrill="1" xr:uid="{777F33F3-DBAE-494D-BE59-F7DB18ADA2BC}">
  <cacheSource type="external" connectionId="1"/>
  <cacheFields count="3">
    <cacheField name="[Table4].[Experience group].[Experience group]" caption="Experience group" numFmtId="0" hierarchy="8" level="1">
      <sharedItems count="4">
        <s v="15-23  YEARS"/>
        <s v="23-30 YEARS"/>
        <s v="30+ YEARS"/>
        <s v="7-15 YEARS"/>
      </sharedItems>
    </cacheField>
    <cacheField name="[Measures].[Count of Employee_ID]" caption="Count of Employee_ID" numFmtId="0" hierarchy="14" level="32767"/>
    <cacheField name="[Table4].[Department].[Department]" caption="Department" numFmtId="0" hierarchy="4" level="1">
      <sharedItems count="5">
        <s v="Finance"/>
        <s v="HR"/>
        <s v="IT"/>
        <s v="Marketing"/>
        <s v="Sales"/>
      </sharedItems>
    </cacheField>
  </cacheFields>
  <cacheHierarchies count="19">
    <cacheHierarchy uniqueName="[Table4].[Index]" caption="Index" attribute="1" defaultMemberUniqueName="[Table4].[Index].[All]" allUniqueName="[Table4].[Index].[All]" dimensionUniqueName="[Table4]" displayFolder="" count="0" memberValueDatatype="20" unbalanced="0"/>
    <cacheHierarchy uniqueName="[Table4].[Employee_ID]" caption="Employee_ID" attribute="1" defaultMemberUniqueName="[Table4].[Employee_ID].[All]" allUniqueName="[Table4].[Employee_ID].[All]" dimensionUniqueName="[Table4]" displayFolder="" count="0" memberValueDatatype="20" unbalanced="0"/>
    <cacheHierarchy uniqueName="[Table4].[Age]" caption="Age" attribute="1" defaultMemberUniqueName="[Table4].[Age].[All]" allUniqueName="[Table4].[Age].[All]" dimensionUniqueName="[Table4]" displayFolder="" count="0" memberValueDatatype="20" unbalanced="0"/>
    <cacheHierarchy uniqueName="[Table4].[Age  group]" caption="Age  group" attribute="1" defaultMemberUniqueName="[Table4].[Age  group].[All]" allUniqueName="[Table4].[Age  group].[All]" dimensionUniqueName="[Table4]" displayFolder="" count="0" memberValueDatatype="130" unbalanced="0"/>
    <cacheHierarchy uniqueName="[Table4].[Department]" caption="Department" attribute="1" defaultMemberUniqueName="[Table4].[Department].[All]" allUniqueName="[Table4].[Department].[All]" dimensionUniqueName="[Table4]" displayFolder="" count="2" memberValueDatatype="130" unbalanced="0">
      <fieldsUsage count="2">
        <fieldUsage x="-1"/>
        <fieldUsage x="2"/>
      </fieldsUsage>
    </cacheHierarchy>
    <cacheHierarchy uniqueName="[Table4].[Is_Manager]" caption="Is_Manager" attribute="1" defaultMemberUniqueName="[Table4].[Is_Manager].[All]" allUniqueName="[Table4].[Is_Manager].[All]" dimensionUniqueName="[Table4]" displayFolder="" count="0" memberValueDatatype="11" unbalanced="0"/>
    <cacheHierarchy uniqueName="[Table4].[Join_Date]" caption="Join_Date" attribute="1" time="1" defaultMemberUniqueName="[Table4].[Join_Date].[All]" allUniqueName="[Table4].[Join_Date].[All]" dimensionUniqueName="[Table4]" displayFolder="" count="0" memberValueDatatype="7" unbalanced="0"/>
    <cacheHierarchy uniqueName="[Table4].[Experience]" caption="Experience" attribute="1" defaultMemberUniqueName="[Table4].[Experience].[All]" allUniqueName="[Table4].[Experience].[All]" dimensionUniqueName="[Table4]" displayFolder="" count="0" memberValueDatatype="20" unbalanced="0"/>
    <cacheHierarchy uniqueName="[Table4].[Experience group]" caption="Experience group" attribute="1" defaultMemberUniqueName="[Table4].[Experience group].[All]" allUniqueName="[Table4].[Experience group].[All]" dimensionUniqueName="[Table4]" displayFolder="" count="2" memberValueDatatype="130" unbalanced="0">
      <fieldsUsage count="2">
        <fieldUsage x="-1"/>
        <fieldUsage x="0"/>
      </fieldsUsage>
    </cacheHierarchy>
    <cacheHierarchy uniqueName="[Table4].[Salary]" caption="Salary" attribute="1" defaultMemberUniqueName="[Table4].[Salary].[All]" allUniqueName="[Table4].[Salary].[All]" dimensionUniqueName="[Table4]" displayFolder="" count="0" memberValueDatatype="20" unbalanced="0"/>
    <cacheHierarchy uniqueName="[Table4].[Salary group]" caption="Salary group" attribute="1" defaultMemberUniqueName="[Table4].[Salary group].[All]" allUniqueName="[Table4].[Salary group].[All]" dimensionUniqueName="[Table4]" displayFolder="" count="0" memberValueDatatype="130" unbalanced="0"/>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Employee_ID]" caption="Sum of Employee_ID" measure="1" displayFolder="" measureGroup="Table4" count="0" hidden="1">
      <extLst>
        <ext xmlns:x15="http://schemas.microsoft.com/office/spreadsheetml/2010/11/main" uri="{B97F6D7D-B522-45F9-BDA1-12C45D357490}">
          <x15:cacheHierarchy aggregatedColumn="1"/>
        </ext>
      </extLst>
    </cacheHierarchy>
    <cacheHierarchy uniqueName="[Measures].[Count of Employee_ID]" caption="Count of Employee_ID" measure="1" displayFolder="" measureGroup="Table4"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Experience group]" caption="Count of Experience group" measure="1" displayFolder="" measureGroup="Table4" count="0" hidden="1">
      <extLst>
        <ext xmlns:x15="http://schemas.microsoft.com/office/spreadsheetml/2010/11/main" uri="{B97F6D7D-B522-45F9-BDA1-12C45D357490}">
          <x15:cacheHierarchy aggregatedColumn="8"/>
        </ext>
      </extLst>
    </cacheHierarchy>
    <cacheHierarchy uniqueName="[Measures].[Sum of Experience]" caption="Sum of Experience" measure="1" displayFolder="" measureGroup="Table4" count="0" hidden="1">
      <extLst>
        <ext xmlns:x15="http://schemas.microsoft.com/office/spreadsheetml/2010/11/main" uri="{B97F6D7D-B522-45F9-BDA1-12C45D357490}">
          <x15:cacheHierarchy aggregatedColumn="7"/>
        </ext>
      </extLst>
    </cacheHierarchy>
    <cacheHierarchy uniqueName="[Measures].[Average of Experience]" caption="Average of Experience" measure="1" displayFolder="" measureGroup="Table4" count="0" hidden="1">
      <extLst>
        <ext xmlns:x15="http://schemas.microsoft.com/office/spreadsheetml/2010/11/main" uri="{B97F6D7D-B522-45F9-BDA1-12C45D357490}">
          <x15:cacheHierarchy aggregatedColumn="7"/>
        </ext>
      </extLst>
    </cacheHierarchy>
    <cacheHierarchy uniqueName="[Measures].[Count of Experience]" caption="Count of Experience" measure="1" displayFolder="" measureGroup="Table4"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4" uniqueName="[Table4]" caption="Table4"/>
  </dimensions>
  <measureGroups count="1">
    <measureGroup name="Table4" caption="Table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0"/>
    <n v="8794"/>
    <x v="0"/>
    <x v="0"/>
    <x v="0"/>
    <x v="0"/>
    <n v="30"/>
    <n v="238668"/>
  </r>
  <r>
    <n v="1"/>
    <n v="8222"/>
    <x v="1"/>
    <x v="1"/>
    <x v="1"/>
    <x v="1"/>
    <n v="13"/>
    <n v="105995"/>
  </r>
  <r>
    <n v="2"/>
    <n v="7643"/>
    <x v="2"/>
    <x v="2"/>
    <x v="0"/>
    <x v="2"/>
    <n v="11"/>
    <n v="96120"/>
  </r>
  <r>
    <n v="3"/>
    <n v="2737"/>
    <x v="3"/>
    <x v="3"/>
    <x v="1"/>
    <x v="3"/>
    <n v="20"/>
    <n v="153525"/>
  </r>
  <r>
    <n v="4"/>
    <n v="8557"/>
    <x v="4"/>
    <x v="3"/>
    <x v="1"/>
    <x v="4"/>
    <n v="31"/>
    <n v="249192"/>
  </r>
  <r>
    <n v="5"/>
    <n v="8484"/>
    <x v="5"/>
    <x v="2"/>
    <x v="0"/>
    <x v="5"/>
    <n v="14"/>
    <n v="112443"/>
  </r>
  <r>
    <n v="6"/>
    <n v="5854"/>
    <x v="6"/>
    <x v="0"/>
    <x v="0"/>
    <x v="6"/>
    <n v="33"/>
    <n v="269150"/>
  </r>
  <r>
    <n v="7"/>
    <n v="6012"/>
    <x v="7"/>
    <x v="0"/>
    <x v="0"/>
    <x v="7"/>
    <n v="13"/>
    <n v="99541"/>
  </r>
  <r>
    <n v="8"/>
    <n v="7462"/>
    <x v="8"/>
    <x v="0"/>
    <x v="0"/>
    <x v="8"/>
    <n v="15"/>
    <n v="119128"/>
  </r>
  <r>
    <n v="9"/>
    <n v="7276"/>
    <x v="9"/>
    <x v="0"/>
    <x v="0"/>
    <x v="9"/>
    <n v="11"/>
    <n v="83249"/>
  </r>
  <r>
    <n v="10"/>
    <n v="6621"/>
    <x v="10"/>
    <x v="4"/>
    <x v="1"/>
    <x v="10"/>
    <n v="26"/>
    <n v="201259"/>
  </r>
  <r>
    <n v="11"/>
    <n v="7461"/>
    <x v="11"/>
    <x v="4"/>
    <x v="1"/>
    <x v="11"/>
    <n v="17"/>
    <n v="144477"/>
  </r>
  <r>
    <n v="12"/>
    <n v="4181"/>
    <x v="7"/>
    <x v="0"/>
    <x v="1"/>
    <x v="12"/>
    <n v="18"/>
    <n v="148126"/>
  </r>
  <r>
    <n v="13"/>
    <n v="9770"/>
    <x v="6"/>
    <x v="2"/>
    <x v="0"/>
    <x v="13"/>
    <n v="29"/>
    <n v="237357"/>
  </r>
  <r>
    <n v="14"/>
    <n v="9138"/>
    <x v="12"/>
    <x v="0"/>
    <x v="1"/>
    <x v="14"/>
    <n v="19"/>
    <n v="158446"/>
  </r>
  <r>
    <n v="15"/>
    <n v="7182"/>
    <x v="2"/>
    <x v="2"/>
    <x v="1"/>
    <x v="15"/>
    <n v="15"/>
    <n v="124601"/>
  </r>
  <r>
    <n v="16"/>
    <n v="9901"/>
    <x v="0"/>
    <x v="4"/>
    <x v="1"/>
    <x v="16"/>
    <n v="27"/>
    <n v="209673"/>
  </r>
  <r>
    <n v="17"/>
    <n v="9684"/>
    <x v="13"/>
    <x v="0"/>
    <x v="0"/>
    <x v="17"/>
    <n v="11"/>
    <n v="88325"/>
  </r>
  <r>
    <n v="18"/>
    <n v="6645"/>
    <x v="2"/>
    <x v="2"/>
    <x v="0"/>
    <x v="18"/>
    <n v="14"/>
    <n v="117761"/>
  </r>
  <r>
    <n v="19"/>
    <n v="4049"/>
    <x v="14"/>
    <x v="4"/>
    <x v="1"/>
    <x v="19"/>
    <n v="24"/>
    <n v="193695"/>
  </r>
  <r>
    <n v="20"/>
    <n v="7857"/>
    <x v="15"/>
    <x v="0"/>
    <x v="1"/>
    <x v="20"/>
    <n v="27"/>
    <n v="223718"/>
  </r>
  <r>
    <n v="21"/>
    <n v="3757"/>
    <x v="16"/>
    <x v="0"/>
    <x v="1"/>
    <x v="21"/>
    <n v="16"/>
    <n v="136877"/>
  </r>
  <r>
    <n v="22"/>
    <n v="9062"/>
    <x v="17"/>
    <x v="1"/>
    <x v="1"/>
    <x v="22"/>
    <n v="24"/>
    <n v="201355"/>
  </r>
  <r>
    <n v="23"/>
    <n v="4459"/>
    <x v="18"/>
    <x v="3"/>
    <x v="0"/>
    <x v="23"/>
    <n v="25"/>
    <n v="197155"/>
  </r>
  <r>
    <n v="24"/>
    <n v="2444"/>
    <x v="11"/>
    <x v="4"/>
    <x v="1"/>
    <x v="24"/>
    <n v="22"/>
    <n v="181254"/>
  </r>
  <r>
    <n v="25"/>
    <n v="3005"/>
    <x v="15"/>
    <x v="1"/>
    <x v="1"/>
    <x v="25"/>
    <n v="24"/>
    <n v="197009"/>
  </r>
  <r>
    <n v="26"/>
    <n v="6797"/>
    <x v="19"/>
    <x v="4"/>
    <x v="1"/>
    <x v="26"/>
    <n v="26"/>
    <n v="201648"/>
  </r>
  <r>
    <n v="27"/>
    <n v="5040"/>
    <x v="20"/>
    <x v="3"/>
    <x v="1"/>
    <x v="27"/>
    <n v="22"/>
    <n v="186028"/>
  </r>
  <r>
    <n v="28"/>
    <n v="9477"/>
    <x v="21"/>
    <x v="4"/>
    <x v="1"/>
    <x v="28"/>
    <n v="26"/>
    <n v="201094"/>
  </r>
  <r>
    <n v="29"/>
    <n v="3555"/>
    <x v="22"/>
    <x v="1"/>
    <x v="1"/>
    <x v="29"/>
    <n v="25"/>
    <n v="192419"/>
  </r>
  <r>
    <n v="30"/>
    <n v="3490"/>
    <x v="1"/>
    <x v="4"/>
    <x v="1"/>
    <x v="30"/>
    <n v="13"/>
    <n v="103102"/>
  </r>
  <r>
    <n v="31"/>
    <n v="3637"/>
    <x v="23"/>
    <x v="2"/>
    <x v="1"/>
    <x v="31"/>
    <n v="31"/>
    <n v="248038"/>
  </r>
  <r>
    <n v="32"/>
    <n v="9629"/>
    <x v="24"/>
    <x v="2"/>
    <x v="1"/>
    <x v="32"/>
    <n v="22"/>
    <n v="178656"/>
  </r>
  <r>
    <n v="33"/>
    <n v="6809"/>
    <x v="25"/>
    <x v="4"/>
    <x v="1"/>
    <x v="33"/>
    <n v="19"/>
    <n v="149831"/>
  </r>
  <r>
    <n v="34"/>
    <n v="8660"/>
    <x v="8"/>
    <x v="3"/>
    <x v="1"/>
    <x v="34"/>
    <n v="17"/>
    <n v="137180"/>
  </r>
  <r>
    <n v="35"/>
    <n v="3840"/>
    <x v="14"/>
    <x v="1"/>
    <x v="1"/>
    <x v="35"/>
    <n v="22"/>
    <n v="173071"/>
  </r>
  <r>
    <n v="36"/>
    <n v="8354"/>
    <x v="14"/>
    <x v="0"/>
    <x v="0"/>
    <x v="36"/>
    <n v="22"/>
    <n v="177939"/>
  </r>
  <r>
    <n v="37"/>
    <n v="9487"/>
    <x v="20"/>
    <x v="1"/>
    <x v="0"/>
    <x v="37"/>
    <n v="14"/>
    <n v="115812"/>
  </r>
  <r>
    <n v="38"/>
    <n v="1501"/>
    <x v="19"/>
    <x v="2"/>
    <x v="1"/>
    <x v="38"/>
    <n v="21"/>
    <n v="159633"/>
  </r>
  <r>
    <n v="39"/>
    <n v="3766"/>
    <x v="2"/>
    <x v="2"/>
    <x v="1"/>
    <x v="39"/>
    <n v="16"/>
    <n v="132927"/>
  </r>
  <r>
    <n v="40"/>
    <n v="6867"/>
    <x v="19"/>
    <x v="1"/>
    <x v="0"/>
    <x v="40"/>
    <n v="26"/>
    <n v="208357"/>
  </r>
  <r>
    <n v="41"/>
    <n v="3272"/>
    <x v="26"/>
    <x v="1"/>
    <x v="1"/>
    <x v="41"/>
    <n v="12"/>
    <n v="98088"/>
  </r>
  <r>
    <n v="42"/>
    <n v="9299"/>
    <x v="14"/>
    <x v="1"/>
    <x v="0"/>
    <x v="42"/>
    <n v="20"/>
    <n v="162526"/>
  </r>
  <r>
    <n v="43"/>
    <n v="3681"/>
    <x v="22"/>
    <x v="0"/>
    <x v="1"/>
    <x v="43"/>
    <n v="23"/>
    <n v="182251"/>
  </r>
  <r>
    <n v="44"/>
    <n v="1311"/>
    <x v="10"/>
    <x v="1"/>
    <x v="1"/>
    <x v="44"/>
    <n v="27"/>
    <n v="222715"/>
  </r>
  <r>
    <n v="45"/>
    <n v="7563"/>
    <x v="5"/>
    <x v="0"/>
    <x v="0"/>
    <x v="45"/>
    <n v="17"/>
    <n v="133435"/>
  </r>
  <r>
    <n v="46"/>
    <n v="1977"/>
    <x v="3"/>
    <x v="0"/>
    <x v="0"/>
    <x v="46"/>
    <n v="18"/>
    <n v="130398"/>
  </r>
  <r>
    <n v="47"/>
    <n v="2765"/>
    <x v="25"/>
    <x v="1"/>
    <x v="1"/>
    <x v="47"/>
    <n v="21"/>
    <n v="164496"/>
  </r>
  <r>
    <n v="48"/>
    <n v="1385"/>
    <x v="27"/>
    <x v="0"/>
    <x v="0"/>
    <x v="48"/>
    <n v="19"/>
    <n v="158595"/>
  </r>
  <r>
    <n v="49"/>
    <n v="4113"/>
    <x v="6"/>
    <x v="2"/>
    <x v="0"/>
    <x v="49"/>
    <n v="30"/>
    <n v="236259"/>
  </r>
  <r>
    <n v="50"/>
    <n v="8791"/>
    <x v="28"/>
    <x v="1"/>
    <x v="1"/>
    <x v="50"/>
    <n v="22"/>
    <n v="174905"/>
  </r>
  <r>
    <n v="51"/>
    <n v="7925"/>
    <x v="24"/>
    <x v="3"/>
    <x v="0"/>
    <x v="51"/>
    <n v="21"/>
    <n v="161581"/>
  </r>
  <r>
    <n v="52"/>
    <n v="9867"/>
    <x v="28"/>
    <x v="4"/>
    <x v="1"/>
    <x v="52"/>
    <n v="27"/>
    <n v="210865"/>
  </r>
  <r>
    <n v="53"/>
    <n v="3086"/>
    <x v="29"/>
    <x v="4"/>
    <x v="1"/>
    <x v="53"/>
    <n v="23"/>
    <n v="187209"/>
  </r>
  <r>
    <n v="54"/>
    <n v="2797"/>
    <x v="10"/>
    <x v="4"/>
    <x v="1"/>
    <x v="54"/>
    <n v="27"/>
    <n v="216483"/>
  </r>
  <r>
    <n v="55"/>
    <n v="2514"/>
    <x v="30"/>
    <x v="4"/>
    <x v="0"/>
    <x v="55"/>
    <n v="31"/>
    <n v="241732"/>
  </r>
  <r>
    <n v="56"/>
    <n v="5404"/>
    <x v="26"/>
    <x v="4"/>
    <x v="1"/>
    <x v="56"/>
    <n v="13"/>
    <n v="100085"/>
  </r>
  <r>
    <n v="57"/>
    <n v="7609"/>
    <x v="22"/>
    <x v="3"/>
    <x v="0"/>
    <x v="57"/>
    <n v="24"/>
    <n v="196599"/>
  </r>
  <r>
    <n v="58"/>
    <n v="4788"/>
    <x v="31"/>
    <x v="1"/>
    <x v="0"/>
    <x v="58"/>
    <n v="25"/>
    <n v="203758"/>
  </r>
  <r>
    <n v="59"/>
    <n v="1607"/>
    <x v="32"/>
    <x v="4"/>
    <x v="1"/>
    <x v="59"/>
    <n v="32"/>
    <n v="254771"/>
  </r>
  <r>
    <n v="60"/>
    <n v="4605"/>
    <x v="31"/>
    <x v="0"/>
    <x v="1"/>
    <x v="60"/>
    <n v="28"/>
    <n v="221350"/>
  </r>
  <r>
    <n v="61"/>
    <n v="9897"/>
    <x v="0"/>
    <x v="0"/>
    <x v="0"/>
    <x v="61"/>
    <n v="28"/>
    <n v="227840"/>
  </r>
  <r>
    <n v="62"/>
    <n v="6593"/>
    <x v="2"/>
    <x v="0"/>
    <x v="0"/>
    <x v="62"/>
    <n v="15"/>
    <n v="118126"/>
  </r>
  <r>
    <n v="63"/>
    <n v="2340"/>
    <x v="16"/>
    <x v="1"/>
    <x v="0"/>
    <x v="63"/>
    <n v="15"/>
    <n v="124811"/>
  </r>
  <r>
    <n v="64"/>
    <n v="5328"/>
    <x v="8"/>
    <x v="4"/>
    <x v="0"/>
    <x v="64"/>
    <n v="17"/>
    <n v="138134"/>
  </r>
  <r>
    <n v="65"/>
    <n v="5037"/>
    <x v="33"/>
    <x v="0"/>
    <x v="0"/>
    <x v="65"/>
    <n v="16"/>
    <n v="127124"/>
  </r>
  <r>
    <n v="66"/>
    <n v="4527"/>
    <x v="24"/>
    <x v="1"/>
    <x v="0"/>
    <x v="66"/>
    <n v="19"/>
    <n v="151056"/>
  </r>
  <r>
    <n v="67"/>
    <n v="6286"/>
    <x v="25"/>
    <x v="0"/>
    <x v="0"/>
    <x v="67"/>
    <n v="18"/>
    <n v="135177"/>
  </r>
  <r>
    <n v="68"/>
    <n v="3154"/>
    <x v="5"/>
    <x v="2"/>
    <x v="1"/>
    <x v="68"/>
    <n v="12"/>
    <n v="99214"/>
  </r>
  <r>
    <n v="69"/>
    <n v="9819"/>
    <x v="34"/>
    <x v="1"/>
    <x v="0"/>
    <x v="69"/>
    <n v="17"/>
    <n v="133866"/>
  </r>
  <r>
    <n v="70"/>
    <n v="3438"/>
    <x v="16"/>
    <x v="4"/>
    <x v="1"/>
    <x v="70"/>
    <n v="16"/>
    <n v="127570"/>
  </r>
  <r>
    <n v="71"/>
    <n v="8337"/>
    <x v="34"/>
    <x v="3"/>
    <x v="1"/>
    <x v="71"/>
    <n v="19"/>
    <n v="140250"/>
  </r>
  <r>
    <n v="72"/>
    <n v="7233"/>
    <x v="10"/>
    <x v="1"/>
    <x v="0"/>
    <x v="72"/>
    <n v="27"/>
    <n v="212800"/>
  </r>
  <r>
    <n v="73"/>
    <n v="7073"/>
    <x v="28"/>
    <x v="3"/>
    <x v="0"/>
    <x v="73"/>
    <n v="23"/>
    <n v="191346"/>
  </r>
  <r>
    <n v="74"/>
    <n v="6850"/>
    <x v="33"/>
    <x v="2"/>
    <x v="1"/>
    <x v="74"/>
    <n v="20"/>
    <n v="160278"/>
  </r>
  <r>
    <n v="75"/>
    <n v="7191"/>
    <x v="18"/>
    <x v="1"/>
    <x v="1"/>
    <x v="75"/>
    <n v="27"/>
    <n v="217985"/>
  </r>
  <r>
    <n v="76"/>
    <n v="5208"/>
    <x v="33"/>
    <x v="4"/>
    <x v="1"/>
    <x v="76"/>
    <n v="20"/>
    <n v="172798"/>
  </r>
  <r>
    <n v="77"/>
    <n v="5116"/>
    <x v="35"/>
    <x v="4"/>
    <x v="0"/>
    <x v="77"/>
    <n v="15"/>
    <n v="120869"/>
  </r>
  <r>
    <n v="78"/>
    <n v="6328"/>
    <x v="14"/>
    <x v="1"/>
    <x v="1"/>
    <x v="78"/>
    <n v="23"/>
    <n v="186135"/>
  </r>
  <r>
    <n v="79"/>
    <n v="3538"/>
    <x v="36"/>
    <x v="3"/>
    <x v="0"/>
    <x v="79"/>
    <n v="12"/>
    <n v="107313"/>
  </r>
  <r>
    <n v="80"/>
    <n v="5826"/>
    <x v="22"/>
    <x v="3"/>
    <x v="0"/>
    <x v="80"/>
    <n v="23"/>
    <n v="189726"/>
  </r>
  <r>
    <n v="81"/>
    <n v="6108"/>
    <x v="14"/>
    <x v="3"/>
    <x v="1"/>
    <x v="81"/>
    <n v="21"/>
    <n v="171530"/>
  </r>
  <r>
    <n v="82"/>
    <n v="2867"/>
    <x v="6"/>
    <x v="2"/>
    <x v="0"/>
    <x v="82"/>
    <n v="34"/>
    <n v="271935"/>
  </r>
  <r>
    <n v="83"/>
    <n v="4495"/>
    <x v="31"/>
    <x v="2"/>
    <x v="1"/>
    <x v="83"/>
    <n v="29"/>
    <n v="234900"/>
  </r>
  <r>
    <n v="84"/>
    <n v="9750"/>
    <x v="17"/>
    <x v="0"/>
    <x v="0"/>
    <x v="84"/>
    <n v="23"/>
    <n v="181290"/>
  </r>
  <r>
    <n v="85"/>
    <n v="9243"/>
    <x v="0"/>
    <x v="1"/>
    <x v="0"/>
    <x v="85"/>
    <n v="31"/>
    <n v="246555"/>
  </r>
  <r>
    <n v="86"/>
    <n v="8462"/>
    <x v="10"/>
    <x v="0"/>
    <x v="1"/>
    <x v="86"/>
    <n v="24"/>
    <n v="191660"/>
  </r>
  <r>
    <n v="87"/>
    <n v="8247"/>
    <x v="26"/>
    <x v="1"/>
    <x v="1"/>
    <x v="87"/>
    <n v="14"/>
    <n v="111511"/>
  </r>
  <r>
    <n v="88"/>
    <n v="3054"/>
    <x v="11"/>
    <x v="4"/>
    <x v="1"/>
    <x v="88"/>
    <n v="19"/>
    <n v="148439"/>
  </r>
  <r>
    <n v="89"/>
    <n v="3988"/>
    <x v="5"/>
    <x v="3"/>
    <x v="1"/>
    <x v="89"/>
    <n v="15"/>
    <n v="120884"/>
  </r>
  <r>
    <n v="90"/>
    <n v="3300"/>
    <x v="35"/>
    <x v="1"/>
    <x v="1"/>
    <x v="90"/>
    <n v="12"/>
    <n v="94805"/>
  </r>
  <r>
    <n v="91"/>
    <n v="9343"/>
    <x v="36"/>
    <x v="1"/>
    <x v="0"/>
    <x v="91"/>
    <n v="13"/>
    <n v="97135"/>
  </r>
  <r>
    <n v="92"/>
    <n v="4183"/>
    <x v="18"/>
    <x v="4"/>
    <x v="0"/>
    <x v="92"/>
    <n v="29"/>
    <n v="220820"/>
  </r>
  <r>
    <n v="93"/>
    <n v="4933"/>
    <x v="5"/>
    <x v="2"/>
    <x v="1"/>
    <x v="93"/>
    <n v="14"/>
    <n v="118043"/>
  </r>
  <r>
    <n v="94"/>
    <n v="7374"/>
    <x v="18"/>
    <x v="3"/>
    <x v="0"/>
    <x v="94"/>
    <n v="27"/>
    <n v="223315"/>
  </r>
  <r>
    <n v="95"/>
    <n v="1082"/>
    <x v="4"/>
    <x v="0"/>
    <x v="1"/>
    <x v="95"/>
    <n v="30"/>
    <n v="246738"/>
  </r>
  <r>
    <n v="96"/>
    <n v="4204"/>
    <x v="18"/>
    <x v="0"/>
    <x v="0"/>
    <x v="96"/>
    <n v="24"/>
    <n v="191082"/>
  </r>
  <r>
    <n v="97"/>
    <n v="9015"/>
    <x v="32"/>
    <x v="0"/>
    <x v="0"/>
    <x v="97"/>
    <n v="28"/>
    <n v="225302"/>
  </r>
  <r>
    <n v="98"/>
    <n v="1706"/>
    <x v="25"/>
    <x v="4"/>
    <x v="0"/>
    <x v="98"/>
    <n v="18"/>
    <n v="142093"/>
  </r>
  <r>
    <n v="99"/>
    <n v="3873"/>
    <x v="29"/>
    <x v="4"/>
    <x v="1"/>
    <x v="99"/>
    <n v="19"/>
    <n v="156162"/>
  </r>
  <r>
    <n v="100"/>
    <n v="3229"/>
    <x v="34"/>
    <x v="1"/>
    <x v="1"/>
    <x v="100"/>
    <n v="17"/>
    <n v="134816"/>
  </r>
  <r>
    <n v="101"/>
    <n v="6665"/>
    <x v="25"/>
    <x v="3"/>
    <x v="0"/>
    <x v="101"/>
    <n v="15"/>
    <n v="122745"/>
  </r>
  <r>
    <n v="102"/>
    <n v="4680"/>
    <x v="25"/>
    <x v="3"/>
    <x v="1"/>
    <x v="102"/>
    <n v="24"/>
    <n v="186453"/>
  </r>
  <r>
    <n v="103"/>
    <n v="1002"/>
    <x v="22"/>
    <x v="4"/>
    <x v="0"/>
    <x v="103"/>
    <n v="25"/>
    <n v="199561"/>
  </r>
  <r>
    <n v="104"/>
    <n v="1137"/>
    <x v="21"/>
    <x v="2"/>
    <x v="1"/>
    <x v="104"/>
    <n v="25"/>
    <n v="204293"/>
  </r>
  <r>
    <n v="105"/>
    <n v="7922"/>
    <x v="37"/>
    <x v="3"/>
    <x v="1"/>
    <x v="105"/>
    <n v="30"/>
    <n v="242531"/>
  </r>
  <r>
    <n v="106"/>
    <n v="3307"/>
    <x v="13"/>
    <x v="4"/>
    <x v="1"/>
    <x v="106"/>
    <n v="12"/>
    <n v="103111"/>
  </r>
  <r>
    <n v="107"/>
    <n v="8235"/>
    <x v="31"/>
    <x v="3"/>
    <x v="1"/>
    <x v="107"/>
    <n v="30"/>
    <n v="237496"/>
  </r>
  <r>
    <n v="108"/>
    <n v="9113"/>
    <x v="28"/>
    <x v="1"/>
    <x v="0"/>
    <x v="108"/>
    <n v="24"/>
    <n v="193765"/>
  </r>
  <r>
    <n v="109"/>
    <n v="6545"/>
    <x v="30"/>
    <x v="3"/>
    <x v="0"/>
    <x v="109"/>
    <n v="30"/>
    <n v="240281"/>
  </r>
  <r>
    <n v="110"/>
    <n v="4987"/>
    <x v="21"/>
    <x v="0"/>
    <x v="0"/>
    <x v="110"/>
    <n v="22"/>
    <n v="176659"/>
  </r>
  <r>
    <n v="111"/>
    <n v="9111"/>
    <x v="37"/>
    <x v="4"/>
    <x v="1"/>
    <x v="111"/>
    <n v="30"/>
    <n v="244973"/>
  </r>
  <r>
    <n v="112"/>
    <n v="1061"/>
    <x v="20"/>
    <x v="1"/>
    <x v="0"/>
    <x v="112"/>
    <n v="20"/>
    <n v="160566"/>
  </r>
  <r>
    <n v="113"/>
    <n v="6101"/>
    <x v="11"/>
    <x v="4"/>
    <x v="1"/>
    <x v="113"/>
    <n v="23"/>
    <n v="177312"/>
  </r>
  <r>
    <n v="114"/>
    <n v="5338"/>
    <x v="38"/>
    <x v="2"/>
    <x v="0"/>
    <x v="114"/>
    <n v="12"/>
    <n v="92967"/>
  </r>
  <r>
    <n v="115"/>
    <n v="3697"/>
    <x v="29"/>
    <x v="2"/>
    <x v="0"/>
    <x v="115"/>
    <n v="25"/>
    <n v="208044"/>
  </r>
  <r>
    <n v="116"/>
    <n v="6704"/>
    <x v="0"/>
    <x v="0"/>
    <x v="0"/>
    <x v="116"/>
    <n v="29"/>
    <n v="225723"/>
  </r>
  <r>
    <n v="117"/>
    <n v="1819"/>
    <x v="4"/>
    <x v="4"/>
    <x v="0"/>
    <x v="117"/>
    <n v="26"/>
    <n v="208426"/>
  </r>
  <r>
    <n v="118"/>
    <n v="4425"/>
    <x v="4"/>
    <x v="4"/>
    <x v="0"/>
    <x v="118"/>
    <n v="35"/>
    <n v="279946"/>
  </r>
  <r>
    <n v="119"/>
    <n v="2499"/>
    <x v="39"/>
    <x v="0"/>
    <x v="1"/>
    <x v="119"/>
    <n v="16"/>
    <n v="129970"/>
  </r>
  <r>
    <n v="120"/>
    <n v="4801"/>
    <x v="21"/>
    <x v="3"/>
    <x v="0"/>
    <x v="120"/>
    <n v="28"/>
    <n v="225408"/>
  </r>
  <r>
    <n v="121"/>
    <n v="8001"/>
    <x v="16"/>
    <x v="4"/>
    <x v="0"/>
    <x v="121"/>
    <n v="16"/>
    <n v="125760"/>
  </r>
  <r>
    <n v="122"/>
    <n v="5263"/>
    <x v="1"/>
    <x v="1"/>
    <x v="1"/>
    <x v="122"/>
    <n v="12"/>
    <n v="92056"/>
  </r>
  <r>
    <n v="123"/>
    <n v="7486"/>
    <x v="14"/>
    <x v="4"/>
    <x v="1"/>
    <x v="123"/>
    <n v="23"/>
    <n v="186546"/>
  </r>
  <r>
    <n v="124"/>
    <n v="3717"/>
    <x v="37"/>
    <x v="1"/>
    <x v="0"/>
    <x v="124"/>
    <n v="26"/>
    <n v="215978"/>
  </r>
  <r>
    <n v="125"/>
    <n v="1861"/>
    <x v="22"/>
    <x v="2"/>
    <x v="1"/>
    <x v="125"/>
    <n v="25"/>
    <n v="185892"/>
  </r>
  <r>
    <n v="126"/>
    <n v="1204"/>
    <x v="25"/>
    <x v="3"/>
    <x v="0"/>
    <x v="6"/>
    <n v="21"/>
    <n v="158986"/>
  </r>
  <r>
    <n v="127"/>
    <n v="8608"/>
    <x v="40"/>
    <x v="0"/>
    <x v="1"/>
    <x v="126"/>
    <n v="26"/>
    <n v="202823"/>
  </r>
  <r>
    <n v="128"/>
    <n v="9278"/>
    <x v="15"/>
    <x v="3"/>
    <x v="0"/>
    <x v="127"/>
    <n v="25"/>
    <n v="198549"/>
  </r>
  <r>
    <n v="129"/>
    <n v="1084"/>
    <x v="16"/>
    <x v="1"/>
    <x v="1"/>
    <x v="128"/>
    <n v="17"/>
    <n v="142300"/>
  </r>
  <r>
    <n v="130"/>
    <n v="3305"/>
    <x v="30"/>
    <x v="4"/>
    <x v="1"/>
    <x v="129"/>
    <n v="29"/>
    <n v="232577"/>
  </r>
  <r>
    <n v="131"/>
    <n v="1262"/>
    <x v="17"/>
    <x v="0"/>
    <x v="1"/>
    <x v="130"/>
    <n v="24"/>
    <n v="196293"/>
  </r>
  <r>
    <n v="132"/>
    <n v="2478"/>
    <x v="25"/>
    <x v="2"/>
    <x v="0"/>
    <x v="131"/>
    <n v="23"/>
    <n v="185268"/>
  </r>
  <r>
    <n v="133"/>
    <n v="4357"/>
    <x v="12"/>
    <x v="0"/>
    <x v="0"/>
    <x v="132"/>
    <n v="20"/>
    <n v="166636"/>
  </r>
  <r>
    <n v="134"/>
    <n v="1802"/>
    <x v="26"/>
    <x v="0"/>
    <x v="0"/>
    <x v="133"/>
    <n v="12"/>
    <n v="94300"/>
  </r>
  <r>
    <n v="135"/>
    <n v="4666"/>
    <x v="17"/>
    <x v="2"/>
    <x v="1"/>
    <x v="134"/>
    <n v="25"/>
    <n v="198827"/>
  </r>
  <r>
    <n v="136"/>
    <n v="7327"/>
    <x v="24"/>
    <x v="0"/>
    <x v="1"/>
    <x v="135"/>
    <n v="25"/>
    <n v="190600"/>
  </r>
  <r>
    <n v="137"/>
    <n v="5722"/>
    <x v="11"/>
    <x v="3"/>
    <x v="1"/>
    <x v="136"/>
    <n v="24"/>
    <n v="187430"/>
  </r>
  <r>
    <n v="138"/>
    <n v="8172"/>
    <x v="14"/>
    <x v="0"/>
    <x v="0"/>
    <x v="137"/>
    <n v="21"/>
    <n v="166573"/>
  </r>
  <r>
    <n v="139"/>
    <n v="2391"/>
    <x v="17"/>
    <x v="3"/>
    <x v="1"/>
    <x v="138"/>
    <n v="22"/>
    <n v="176961"/>
  </r>
  <r>
    <n v="140"/>
    <n v="3536"/>
    <x v="21"/>
    <x v="4"/>
    <x v="1"/>
    <x v="139"/>
    <n v="25"/>
    <n v="206014"/>
  </r>
  <r>
    <n v="141"/>
    <n v="7770"/>
    <x v="11"/>
    <x v="1"/>
    <x v="1"/>
    <x v="140"/>
    <n v="21"/>
    <n v="167653"/>
  </r>
  <r>
    <n v="142"/>
    <n v="1571"/>
    <x v="8"/>
    <x v="4"/>
    <x v="0"/>
    <x v="141"/>
    <n v="17"/>
    <n v="138491"/>
  </r>
  <r>
    <n v="143"/>
    <n v="2558"/>
    <x v="39"/>
    <x v="2"/>
    <x v="1"/>
    <x v="31"/>
    <n v="14"/>
    <n v="113663"/>
  </r>
  <r>
    <n v="144"/>
    <n v="1197"/>
    <x v="41"/>
    <x v="1"/>
    <x v="1"/>
    <x v="142"/>
    <n v="25"/>
    <n v="195286"/>
  </r>
  <r>
    <n v="145"/>
    <n v="4842"/>
    <x v="40"/>
    <x v="1"/>
    <x v="1"/>
    <x v="143"/>
    <n v="27"/>
    <n v="215637"/>
  </r>
  <r>
    <n v="146"/>
    <n v="1809"/>
    <x v="11"/>
    <x v="0"/>
    <x v="1"/>
    <x v="144"/>
    <n v="21"/>
    <n v="170164"/>
  </r>
  <r>
    <n v="147"/>
    <n v="2304"/>
    <x v="41"/>
    <x v="2"/>
    <x v="0"/>
    <x v="145"/>
    <n v="30"/>
    <n v="240851"/>
  </r>
  <r>
    <n v="148"/>
    <n v="2759"/>
    <x v="38"/>
    <x v="4"/>
    <x v="0"/>
    <x v="146"/>
    <n v="9"/>
    <n v="78650"/>
  </r>
  <r>
    <n v="149"/>
    <n v="8278"/>
    <x v="13"/>
    <x v="1"/>
    <x v="1"/>
    <x v="147"/>
    <n v="13"/>
    <n v="101767"/>
  </r>
  <r>
    <n v="150"/>
    <n v="3797"/>
    <x v="41"/>
    <x v="2"/>
    <x v="0"/>
    <x v="148"/>
    <n v="30"/>
    <n v="237787"/>
  </r>
  <r>
    <n v="151"/>
    <n v="1475"/>
    <x v="7"/>
    <x v="2"/>
    <x v="0"/>
    <x v="149"/>
    <n v="15"/>
    <n v="120289"/>
  </r>
  <r>
    <n v="152"/>
    <n v="4165"/>
    <x v="32"/>
    <x v="3"/>
    <x v="1"/>
    <x v="150"/>
    <n v="29"/>
    <n v="229854"/>
  </r>
  <r>
    <n v="153"/>
    <n v="3292"/>
    <x v="7"/>
    <x v="4"/>
    <x v="0"/>
    <x v="151"/>
    <n v="16"/>
    <n v="140462"/>
  </r>
  <r>
    <n v="154"/>
    <n v="1740"/>
    <x v="34"/>
    <x v="1"/>
    <x v="1"/>
    <x v="152"/>
    <n v="17"/>
    <n v="137966"/>
  </r>
  <r>
    <n v="155"/>
    <n v="5139"/>
    <x v="22"/>
    <x v="3"/>
    <x v="1"/>
    <x v="153"/>
    <n v="26"/>
    <n v="198685"/>
  </r>
  <r>
    <n v="156"/>
    <n v="4522"/>
    <x v="5"/>
    <x v="2"/>
    <x v="0"/>
    <x v="154"/>
    <n v="13"/>
    <n v="97639"/>
  </r>
  <r>
    <n v="157"/>
    <n v="2227"/>
    <x v="10"/>
    <x v="1"/>
    <x v="1"/>
    <x v="155"/>
    <n v="27"/>
    <n v="213234"/>
  </r>
  <r>
    <n v="158"/>
    <n v="1859"/>
    <x v="37"/>
    <x v="0"/>
    <x v="1"/>
    <x v="156"/>
    <n v="27"/>
    <n v="223033"/>
  </r>
  <r>
    <n v="159"/>
    <n v="9580"/>
    <x v="41"/>
    <x v="0"/>
    <x v="0"/>
    <x v="157"/>
    <n v="30"/>
    <n v="234249"/>
  </r>
  <r>
    <n v="160"/>
    <n v="7166"/>
    <x v="14"/>
    <x v="3"/>
    <x v="1"/>
    <x v="158"/>
    <n v="21"/>
    <n v="172147"/>
  </r>
  <r>
    <n v="161"/>
    <n v="2383"/>
    <x v="34"/>
    <x v="3"/>
    <x v="1"/>
    <x v="159"/>
    <n v="14"/>
    <n v="110715"/>
  </r>
  <r>
    <n v="162"/>
    <n v="7950"/>
    <x v="28"/>
    <x v="4"/>
    <x v="1"/>
    <x v="160"/>
    <n v="23"/>
    <n v="181074"/>
  </r>
  <r>
    <n v="163"/>
    <n v="5231"/>
    <x v="22"/>
    <x v="4"/>
    <x v="1"/>
    <x v="161"/>
    <n v="22"/>
    <n v="172103"/>
  </r>
  <r>
    <n v="164"/>
    <n v="3709"/>
    <x v="16"/>
    <x v="4"/>
    <x v="0"/>
    <x v="162"/>
    <n v="15"/>
    <n v="121991"/>
  </r>
  <r>
    <n v="165"/>
    <n v="5077"/>
    <x v="17"/>
    <x v="0"/>
    <x v="0"/>
    <x v="163"/>
    <n v="20"/>
    <n v="174787"/>
  </r>
  <r>
    <n v="166"/>
    <n v="8159"/>
    <x v="18"/>
    <x v="4"/>
    <x v="0"/>
    <x v="164"/>
    <n v="25"/>
    <n v="200675"/>
  </r>
  <r>
    <n v="167"/>
    <n v="2327"/>
    <x v="34"/>
    <x v="3"/>
    <x v="0"/>
    <x v="165"/>
    <n v="17"/>
    <n v="144719"/>
  </r>
  <r>
    <n v="168"/>
    <n v="8869"/>
    <x v="10"/>
    <x v="2"/>
    <x v="0"/>
    <x v="166"/>
    <n v="25"/>
    <n v="198755"/>
  </r>
  <r>
    <n v="169"/>
    <n v="1184"/>
    <x v="24"/>
    <x v="3"/>
    <x v="1"/>
    <x v="167"/>
    <n v="19"/>
    <n v="150320"/>
  </r>
  <r>
    <n v="170"/>
    <n v="5290"/>
    <x v="18"/>
    <x v="2"/>
    <x v="1"/>
    <x v="168"/>
    <n v="25"/>
    <n v="196697"/>
  </r>
  <r>
    <n v="171"/>
    <n v="3041"/>
    <x v="39"/>
    <x v="0"/>
    <x v="1"/>
    <x v="169"/>
    <n v="16"/>
    <n v="133598"/>
  </r>
  <r>
    <n v="172"/>
    <n v="3995"/>
    <x v="3"/>
    <x v="3"/>
    <x v="0"/>
    <x v="170"/>
    <n v="18"/>
    <n v="152005"/>
  </r>
  <r>
    <n v="173"/>
    <n v="3870"/>
    <x v="2"/>
    <x v="4"/>
    <x v="1"/>
    <x v="171"/>
    <n v="17"/>
    <n v="127810"/>
  </r>
  <r>
    <n v="174"/>
    <n v="7949"/>
    <x v="32"/>
    <x v="3"/>
    <x v="0"/>
    <x v="172"/>
    <n v="31"/>
    <n v="245029"/>
  </r>
  <r>
    <n v="175"/>
    <n v="3635"/>
    <x v="25"/>
    <x v="1"/>
    <x v="1"/>
    <x v="173"/>
    <n v="20"/>
    <n v="159567"/>
  </r>
  <r>
    <n v="176"/>
    <n v="5679"/>
    <x v="3"/>
    <x v="2"/>
    <x v="1"/>
    <x v="174"/>
    <n v="20"/>
    <n v="165488"/>
  </r>
  <r>
    <n v="177"/>
    <n v="5525"/>
    <x v="33"/>
    <x v="2"/>
    <x v="0"/>
    <x v="175"/>
    <n v="18"/>
    <n v="144373"/>
  </r>
  <r>
    <n v="178"/>
    <n v="9645"/>
    <x v="18"/>
    <x v="0"/>
    <x v="0"/>
    <x v="176"/>
    <n v="25"/>
    <n v="209113"/>
  </r>
  <r>
    <n v="179"/>
    <n v="9968"/>
    <x v="23"/>
    <x v="4"/>
    <x v="1"/>
    <x v="177"/>
    <n v="29"/>
    <n v="230159"/>
  </r>
  <r>
    <n v="180"/>
    <n v="3953"/>
    <x v="23"/>
    <x v="2"/>
    <x v="1"/>
    <x v="178"/>
    <n v="32"/>
    <n v="242948"/>
  </r>
  <r>
    <n v="181"/>
    <n v="4758"/>
    <x v="27"/>
    <x v="3"/>
    <x v="0"/>
    <x v="179"/>
    <n v="22"/>
    <n v="181627"/>
  </r>
  <r>
    <n v="182"/>
    <n v="7427"/>
    <x v="22"/>
    <x v="4"/>
    <x v="0"/>
    <x v="180"/>
    <n v="24"/>
    <n v="185708"/>
  </r>
  <r>
    <n v="183"/>
    <n v="8999"/>
    <x v="1"/>
    <x v="2"/>
    <x v="1"/>
    <x v="181"/>
    <n v="14"/>
    <n v="111947"/>
  </r>
  <r>
    <n v="184"/>
    <n v="7658"/>
    <x v="31"/>
    <x v="4"/>
    <x v="0"/>
    <x v="182"/>
    <n v="26"/>
    <n v="201058"/>
  </r>
  <r>
    <n v="185"/>
    <n v="4734"/>
    <x v="27"/>
    <x v="2"/>
    <x v="1"/>
    <x v="183"/>
    <n v="21"/>
    <n v="168451"/>
  </r>
  <r>
    <n v="186"/>
    <n v="7336"/>
    <x v="26"/>
    <x v="1"/>
    <x v="1"/>
    <x v="184"/>
    <n v="8"/>
    <n v="57732"/>
  </r>
  <r>
    <n v="187"/>
    <n v="4024"/>
    <x v="29"/>
    <x v="3"/>
    <x v="1"/>
    <x v="185"/>
    <n v="25"/>
    <n v="197413"/>
  </r>
  <r>
    <n v="188"/>
    <n v="7752"/>
    <x v="2"/>
    <x v="2"/>
    <x v="0"/>
    <x v="186"/>
    <n v="16"/>
    <n v="121722"/>
  </r>
  <r>
    <n v="189"/>
    <n v="9981"/>
    <x v="2"/>
    <x v="3"/>
    <x v="1"/>
    <x v="187"/>
    <n v="18"/>
    <n v="152895"/>
  </r>
  <r>
    <n v="190"/>
    <n v="2003"/>
    <x v="2"/>
    <x v="0"/>
    <x v="0"/>
    <x v="188"/>
    <n v="14"/>
    <n v="117925"/>
  </r>
  <r>
    <n v="191"/>
    <n v="9689"/>
    <x v="15"/>
    <x v="3"/>
    <x v="1"/>
    <x v="189"/>
    <n v="24"/>
    <n v="193844"/>
  </r>
  <r>
    <n v="192"/>
    <n v="2869"/>
    <x v="2"/>
    <x v="4"/>
    <x v="1"/>
    <x v="190"/>
    <n v="14"/>
    <n v="121879"/>
  </r>
  <r>
    <n v="193"/>
    <n v="9133"/>
    <x v="12"/>
    <x v="2"/>
    <x v="1"/>
    <x v="191"/>
    <n v="22"/>
    <n v="176397"/>
  </r>
  <r>
    <n v="194"/>
    <n v="5618"/>
    <x v="37"/>
    <x v="4"/>
    <x v="1"/>
    <x v="192"/>
    <n v="31"/>
    <n v="250658"/>
  </r>
  <r>
    <n v="195"/>
    <n v="2310"/>
    <x v="19"/>
    <x v="3"/>
    <x v="0"/>
    <x v="193"/>
    <n v="22"/>
    <n v="176752"/>
  </r>
  <r>
    <n v="196"/>
    <n v="9025"/>
    <x v="16"/>
    <x v="2"/>
    <x v="1"/>
    <x v="194"/>
    <n v="15"/>
    <n v="123319"/>
  </r>
  <r>
    <n v="197"/>
    <n v="2227"/>
    <x v="0"/>
    <x v="2"/>
    <x v="1"/>
    <x v="195"/>
    <n v="32"/>
    <n v="258573"/>
  </r>
  <r>
    <n v="198"/>
    <n v="2996"/>
    <x v="27"/>
    <x v="0"/>
    <x v="0"/>
    <x v="196"/>
    <n v="19"/>
    <n v="150946"/>
  </r>
  <r>
    <n v="199"/>
    <n v="3003"/>
    <x v="13"/>
    <x v="3"/>
    <x v="1"/>
    <x v="197"/>
    <n v="14"/>
    <n v="114361"/>
  </r>
  <r>
    <n v="200"/>
    <n v="7608"/>
    <x v="30"/>
    <x v="4"/>
    <x v="1"/>
    <x v="198"/>
    <n v="32"/>
    <n v="257944"/>
  </r>
  <r>
    <n v="201"/>
    <n v="1121"/>
    <x v="26"/>
    <x v="4"/>
    <x v="0"/>
    <x v="199"/>
    <n v="12"/>
    <n v="91127"/>
  </r>
  <r>
    <n v="202"/>
    <n v="1838"/>
    <x v="6"/>
    <x v="3"/>
    <x v="1"/>
    <x v="200"/>
    <n v="34"/>
    <n v="273400"/>
  </r>
  <r>
    <n v="203"/>
    <n v="6586"/>
    <x v="29"/>
    <x v="3"/>
    <x v="1"/>
    <x v="201"/>
    <n v="25"/>
    <n v="196459"/>
  </r>
  <r>
    <n v="204"/>
    <n v="4148"/>
    <x v="8"/>
    <x v="2"/>
    <x v="0"/>
    <x v="202"/>
    <n v="18"/>
    <n v="132705"/>
  </r>
  <r>
    <n v="205"/>
    <n v="6227"/>
    <x v="4"/>
    <x v="1"/>
    <x v="1"/>
    <x v="203"/>
    <n v="24"/>
    <n v="192494"/>
  </r>
  <r>
    <n v="206"/>
    <n v="6663"/>
    <x v="3"/>
    <x v="2"/>
    <x v="1"/>
    <x v="204"/>
    <n v="21"/>
    <n v="164835"/>
  </r>
  <r>
    <n v="207"/>
    <n v="9650"/>
    <x v="7"/>
    <x v="0"/>
    <x v="0"/>
    <x v="205"/>
    <n v="15"/>
    <n v="126137"/>
  </r>
  <r>
    <n v="208"/>
    <n v="6929"/>
    <x v="10"/>
    <x v="3"/>
    <x v="1"/>
    <x v="206"/>
    <n v="25"/>
    <n v="200225"/>
  </r>
  <r>
    <n v="209"/>
    <n v="2863"/>
    <x v="29"/>
    <x v="0"/>
    <x v="0"/>
    <x v="207"/>
    <n v="25"/>
    <n v="195891"/>
  </r>
  <r>
    <n v="210"/>
    <n v="8673"/>
    <x v="24"/>
    <x v="2"/>
    <x v="1"/>
    <x v="208"/>
    <n v="20"/>
    <n v="156207"/>
  </r>
  <r>
    <n v="211"/>
    <n v="2820"/>
    <x v="1"/>
    <x v="0"/>
    <x v="1"/>
    <x v="209"/>
    <n v="18"/>
    <n v="135734"/>
  </r>
  <r>
    <n v="212"/>
    <n v="6260"/>
    <x v="9"/>
    <x v="1"/>
    <x v="0"/>
    <x v="210"/>
    <n v="14"/>
    <n v="109179"/>
  </r>
  <r>
    <n v="213"/>
    <n v="5238"/>
    <x v="22"/>
    <x v="1"/>
    <x v="0"/>
    <x v="211"/>
    <n v="25"/>
    <n v="197005"/>
  </r>
  <r>
    <n v="214"/>
    <n v="1284"/>
    <x v="1"/>
    <x v="1"/>
    <x v="0"/>
    <x v="212"/>
    <n v="13"/>
    <n v="89207"/>
  </r>
  <r>
    <n v="215"/>
    <n v="3247"/>
    <x v="8"/>
    <x v="0"/>
    <x v="1"/>
    <x v="213"/>
    <n v="16"/>
    <n v="138009"/>
  </r>
  <r>
    <n v="216"/>
    <n v="1541"/>
    <x v="23"/>
    <x v="4"/>
    <x v="1"/>
    <x v="214"/>
    <n v="28"/>
    <n v="233480"/>
  </r>
  <r>
    <n v="217"/>
    <n v="5004"/>
    <x v="41"/>
    <x v="0"/>
    <x v="1"/>
    <x v="215"/>
    <n v="26"/>
    <n v="206244"/>
  </r>
  <r>
    <n v="218"/>
    <n v="2696"/>
    <x v="15"/>
    <x v="0"/>
    <x v="1"/>
    <x v="216"/>
    <n v="26"/>
    <n v="207865"/>
  </r>
  <r>
    <n v="219"/>
    <n v="6407"/>
    <x v="11"/>
    <x v="4"/>
    <x v="1"/>
    <x v="217"/>
    <n v="21"/>
    <n v="160057"/>
  </r>
  <r>
    <n v="220"/>
    <n v="2699"/>
    <x v="25"/>
    <x v="0"/>
    <x v="1"/>
    <x v="218"/>
    <n v="16"/>
    <n v="135082"/>
  </r>
  <r>
    <n v="221"/>
    <n v="9383"/>
    <x v="41"/>
    <x v="0"/>
    <x v="0"/>
    <x v="219"/>
    <n v="25"/>
    <n v="207482"/>
  </r>
  <r>
    <n v="222"/>
    <n v="2577"/>
    <x v="42"/>
    <x v="3"/>
    <x v="0"/>
    <x v="220"/>
    <n v="19"/>
    <n v="144587"/>
  </r>
  <r>
    <n v="223"/>
    <n v="7746"/>
    <x v="12"/>
    <x v="1"/>
    <x v="1"/>
    <x v="221"/>
    <n v="22"/>
    <n v="179459"/>
  </r>
  <r>
    <n v="224"/>
    <n v="5622"/>
    <x v="32"/>
    <x v="4"/>
    <x v="0"/>
    <x v="222"/>
    <n v="30"/>
    <n v="235895"/>
  </r>
  <r>
    <n v="225"/>
    <n v="4002"/>
    <x v="35"/>
    <x v="3"/>
    <x v="0"/>
    <x v="223"/>
    <n v="17"/>
    <n v="134299"/>
  </r>
  <r>
    <n v="226"/>
    <n v="1643"/>
    <x v="8"/>
    <x v="1"/>
    <x v="1"/>
    <x v="224"/>
    <n v="17"/>
    <n v="134991"/>
  </r>
  <r>
    <n v="227"/>
    <n v="1459"/>
    <x v="35"/>
    <x v="1"/>
    <x v="0"/>
    <x v="225"/>
    <n v="11"/>
    <n v="88841"/>
  </r>
  <r>
    <n v="228"/>
    <n v="3972"/>
    <x v="24"/>
    <x v="2"/>
    <x v="0"/>
    <x v="226"/>
    <n v="23"/>
    <n v="184491"/>
  </r>
  <r>
    <n v="229"/>
    <n v="2714"/>
    <x v="11"/>
    <x v="1"/>
    <x v="1"/>
    <x v="227"/>
    <n v="20"/>
    <n v="154542"/>
  </r>
  <r>
    <n v="230"/>
    <n v="5785"/>
    <x v="27"/>
    <x v="2"/>
    <x v="0"/>
    <x v="228"/>
    <n v="20"/>
    <n v="158115"/>
  </r>
  <r>
    <n v="231"/>
    <n v="5746"/>
    <x v="33"/>
    <x v="2"/>
    <x v="0"/>
    <x v="229"/>
    <n v="14"/>
    <n v="113899"/>
  </r>
  <r>
    <n v="232"/>
    <n v="9400"/>
    <x v="13"/>
    <x v="1"/>
    <x v="0"/>
    <x v="230"/>
    <n v="10"/>
    <n v="85343"/>
  </r>
  <r>
    <n v="233"/>
    <n v="4676"/>
    <x v="33"/>
    <x v="1"/>
    <x v="1"/>
    <x v="231"/>
    <n v="18"/>
    <n v="139873"/>
  </r>
  <r>
    <n v="234"/>
    <n v="9846"/>
    <x v="4"/>
    <x v="1"/>
    <x v="0"/>
    <x v="232"/>
    <n v="30"/>
    <n v="246725"/>
  </r>
  <r>
    <n v="235"/>
    <n v="9108"/>
    <x v="41"/>
    <x v="1"/>
    <x v="0"/>
    <x v="233"/>
    <n v="27"/>
    <n v="226201"/>
  </r>
  <r>
    <n v="236"/>
    <n v="3158"/>
    <x v="10"/>
    <x v="0"/>
    <x v="1"/>
    <x v="234"/>
    <n v="27"/>
    <n v="212105"/>
  </r>
  <r>
    <n v="237"/>
    <n v="7361"/>
    <x v="34"/>
    <x v="2"/>
    <x v="0"/>
    <x v="235"/>
    <n v="18"/>
    <n v="149179"/>
  </r>
  <r>
    <n v="238"/>
    <n v="1959"/>
    <x v="33"/>
    <x v="1"/>
    <x v="0"/>
    <x v="236"/>
    <n v="15"/>
    <n v="115898"/>
  </r>
  <r>
    <n v="239"/>
    <n v="9340"/>
    <x v="6"/>
    <x v="1"/>
    <x v="1"/>
    <x v="237"/>
    <n v="30"/>
    <n v="245207"/>
  </r>
  <r>
    <n v="240"/>
    <n v="9605"/>
    <x v="22"/>
    <x v="1"/>
    <x v="0"/>
    <x v="238"/>
    <n v="21"/>
    <n v="163924"/>
  </r>
  <r>
    <n v="241"/>
    <n v="3361"/>
    <x v="29"/>
    <x v="2"/>
    <x v="0"/>
    <x v="239"/>
    <n v="22"/>
    <n v="172224"/>
  </r>
  <r>
    <n v="242"/>
    <n v="4662"/>
    <x v="3"/>
    <x v="3"/>
    <x v="1"/>
    <x v="240"/>
    <n v="19"/>
    <n v="144990"/>
  </r>
  <r>
    <n v="243"/>
    <n v="4844"/>
    <x v="19"/>
    <x v="1"/>
    <x v="1"/>
    <x v="241"/>
    <n v="22"/>
    <n v="170676"/>
  </r>
  <r>
    <n v="244"/>
    <n v="6788"/>
    <x v="42"/>
    <x v="2"/>
    <x v="1"/>
    <x v="242"/>
    <n v="22"/>
    <n v="181837"/>
  </r>
  <r>
    <n v="245"/>
    <n v="4450"/>
    <x v="27"/>
    <x v="4"/>
    <x v="0"/>
    <x v="243"/>
    <n v="18"/>
    <n v="133509"/>
  </r>
  <r>
    <n v="246"/>
    <n v="9076"/>
    <x v="37"/>
    <x v="3"/>
    <x v="0"/>
    <x v="244"/>
    <n v="29"/>
    <n v="234402"/>
  </r>
  <r>
    <n v="247"/>
    <n v="8936"/>
    <x v="29"/>
    <x v="2"/>
    <x v="0"/>
    <x v="245"/>
    <n v="20"/>
    <n v="165971"/>
  </r>
  <r>
    <n v="248"/>
    <n v="3578"/>
    <x v="5"/>
    <x v="4"/>
    <x v="0"/>
    <x v="246"/>
    <n v="13"/>
    <n v="105359"/>
  </r>
  <r>
    <n v="249"/>
    <n v="5624"/>
    <x v="26"/>
    <x v="4"/>
    <x v="1"/>
    <x v="247"/>
    <n v="13"/>
    <n v="94383"/>
  </r>
  <r>
    <n v="250"/>
    <n v="3793"/>
    <x v="10"/>
    <x v="4"/>
    <x v="0"/>
    <x v="248"/>
    <n v="24"/>
    <n v="198528"/>
  </r>
  <r>
    <n v="251"/>
    <n v="1804"/>
    <x v="23"/>
    <x v="4"/>
    <x v="1"/>
    <x v="249"/>
    <n v="31"/>
    <n v="242369"/>
  </r>
  <r>
    <n v="252"/>
    <n v="5169"/>
    <x v="18"/>
    <x v="4"/>
    <x v="1"/>
    <x v="250"/>
    <n v="23"/>
    <n v="182226"/>
  </r>
  <r>
    <n v="253"/>
    <n v="7658"/>
    <x v="36"/>
    <x v="3"/>
    <x v="0"/>
    <x v="251"/>
    <n v="11"/>
    <n v="88117"/>
  </r>
  <r>
    <n v="254"/>
    <n v="3417"/>
    <x v="21"/>
    <x v="2"/>
    <x v="1"/>
    <x v="252"/>
    <n v="30"/>
    <n v="242515"/>
  </r>
  <r>
    <n v="255"/>
    <n v="4801"/>
    <x v="23"/>
    <x v="0"/>
    <x v="0"/>
    <x v="253"/>
    <n v="35"/>
    <n v="281861"/>
  </r>
  <r>
    <n v="256"/>
    <n v="2427"/>
    <x v="4"/>
    <x v="4"/>
    <x v="0"/>
    <x v="254"/>
    <n v="31"/>
    <n v="242118"/>
  </r>
  <r>
    <n v="257"/>
    <n v="4976"/>
    <x v="22"/>
    <x v="1"/>
    <x v="1"/>
    <x v="255"/>
    <n v="26"/>
    <n v="209490"/>
  </r>
  <r>
    <n v="258"/>
    <n v="2090"/>
    <x v="35"/>
    <x v="4"/>
    <x v="0"/>
    <x v="256"/>
    <n v="11"/>
    <n v="89796"/>
  </r>
  <r>
    <n v="259"/>
    <n v="8575"/>
    <x v="12"/>
    <x v="0"/>
    <x v="0"/>
    <x v="257"/>
    <n v="17"/>
    <n v="133309"/>
  </r>
  <r>
    <n v="260"/>
    <n v="6820"/>
    <x v="4"/>
    <x v="4"/>
    <x v="0"/>
    <x v="258"/>
    <n v="30"/>
    <n v="242055"/>
  </r>
  <r>
    <n v="261"/>
    <n v="4433"/>
    <x v="32"/>
    <x v="2"/>
    <x v="0"/>
    <x v="259"/>
    <n v="27"/>
    <n v="216452"/>
  </r>
  <r>
    <n v="262"/>
    <n v="2245"/>
    <x v="17"/>
    <x v="1"/>
    <x v="0"/>
    <x v="260"/>
    <n v="23"/>
    <n v="175322"/>
  </r>
  <r>
    <n v="263"/>
    <n v="9271"/>
    <x v="12"/>
    <x v="2"/>
    <x v="1"/>
    <x v="261"/>
    <n v="18"/>
    <n v="143008"/>
  </r>
  <r>
    <n v="264"/>
    <n v="9654"/>
    <x v="27"/>
    <x v="1"/>
    <x v="1"/>
    <x v="262"/>
    <n v="23"/>
    <n v="188585"/>
  </r>
  <r>
    <n v="265"/>
    <n v="8985"/>
    <x v="25"/>
    <x v="4"/>
    <x v="1"/>
    <x v="263"/>
    <n v="22"/>
    <n v="170616"/>
  </r>
  <r>
    <n v="266"/>
    <n v="2461"/>
    <x v="39"/>
    <x v="3"/>
    <x v="1"/>
    <x v="264"/>
    <n v="10"/>
    <n v="76240"/>
  </r>
  <r>
    <n v="267"/>
    <n v="3151"/>
    <x v="7"/>
    <x v="3"/>
    <x v="1"/>
    <x v="265"/>
    <n v="15"/>
    <n v="126615"/>
  </r>
  <r>
    <n v="268"/>
    <n v="7639"/>
    <x v="15"/>
    <x v="2"/>
    <x v="0"/>
    <x v="266"/>
    <n v="28"/>
    <n v="229698"/>
  </r>
  <r>
    <n v="269"/>
    <n v="5916"/>
    <x v="15"/>
    <x v="4"/>
    <x v="0"/>
    <x v="267"/>
    <n v="24"/>
    <n v="187784"/>
  </r>
  <r>
    <n v="270"/>
    <n v="9431"/>
    <x v="33"/>
    <x v="0"/>
    <x v="1"/>
    <x v="268"/>
    <n v="16"/>
    <n v="138129"/>
  </r>
  <r>
    <n v="271"/>
    <n v="3881"/>
    <x v="9"/>
    <x v="4"/>
    <x v="1"/>
    <x v="269"/>
    <n v="9"/>
    <n v="67144"/>
  </r>
  <r>
    <n v="272"/>
    <n v="4413"/>
    <x v="6"/>
    <x v="2"/>
    <x v="0"/>
    <x v="270"/>
    <n v="29"/>
    <n v="239949"/>
  </r>
  <r>
    <n v="273"/>
    <n v="6996"/>
    <x v="28"/>
    <x v="4"/>
    <x v="1"/>
    <x v="271"/>
    <n v="21"/>
    <n v="179365"/>
  </r>
  <r>
    <n v="274"/>
    <n v="9067"/>
    <x v="28"/>
    <x v="2"/>
    <x v="1"/>
    <x v="272"/>
    <n v="24"/>
    <n v="187838"/>
  </r>
  <r>
    <n v="275"/>
    <n v="7346"/>
    <x v="13"/>
    <x v="0"/>
    <x v="0"/>
    <x v="273"/>
    <n v="16"/>
    <n v="132450"/>
  </r>
  <r>
    <n v="276"/>
    <n v="5348"/>
    <x v="10"/>
    <x v="4"/>
    <x v="0"/>
    <x v="274"/>
    <n v="27"/>
    <n v="205100"/>
  </r>
  <r>
    <n v="277"/>
    <n v="8654"/>
    <x v="7"/>
    <x v="3"/>
    <x v="0"/>
    <x v="275"/>
    <n v="14"/>
    <n v="116747"/>
  </r>
  <r>
    <n v="278"/>
    <n v="6135"/>
    <x v="42"/>
    <x v="4"/>
    <x v="0"/>
    <x v="276"/>
    <n v="20"/>
    <n v="163267"/>
  </r>
  <r>
    <n v="279"/>
    <n v="9855"/>
    <x v="18"/>
    <x v="4"/>
    <x v="0"/>
    <x v="277"/>
    <n v="25"/>
    <n v="201417"/>
  </r>
  <r>
    <n v="280"/>
    <n v="4372"/>
    <x v="38"/>
    <x v="4"/>
    <x v="0"/>
    <x v="278"/>
    <n v="10"/>
    <n v="81020"/>
  </r>
  <r>
    <n v="281"/>
    <n v="5929"/>
    <x v="21"/>
    <x v="0"/>
    <x v="0"/>
    <x v="279"/>
    <n v="28"/>
    <n v="223674"/>
  </r>
  <r>
    <n v="282"/>
    <n v="3596"/>
    <x v="19"/>
    <x v="1"/>
    <x v="1"/>
    <x v="280"/>
    <n v="26"/>
    <n v="210860"/>
  </r>
  <r>
    <n v="283"/>
    <n v="5750"/>
    <x v="11"/>
    <x v="0"/>
    <x v="1"/>
    <x v="281"/>
    <n v="21"/>
    <n v="166151"/>
  </r>
  <r>
    <n v="284"/>
    <n v="6969"/>
    <x v="17"/>
    <x v="1"/>
    <x v="1"/>
    <x v="282"/>
    <n v="27"/>
    <n v="221768"/>
  </r>
  <r>
    <n v="285"/>
    <n v="9046"/>
    <x v="4"/>
    <x v="2"/>
    <x v="1"/>
    <x v="283"/>
    <n v="28"/>
    <n v="228336"/>
  </r>
  <r>
    <n v="286"/>
    <n v="4744"/>
    <x v="9"/>
    <x v="0"/>
    <x v="0"/>
    <x v="154"/>
    <n v="10"/>
    <n v="83287"/>
  </r>
  <r>
    <n v="287"/>
    <n v="9279"/>
    <x v="8"/>
    <x v="3"/>
    <x v="0"/>
    <x v="284"/>
    <n v="14"/>
    <n v="107405"/>
  </r>
  <r>
    <n v="288"/>
    <n v="8703"/>
    <x v="1"/>
    <x v="0"/>
    <x v="1"/>
    <x v="285"/>
    <n v="14"/>
    <n v="108456"/>
  </r>
  <r>
    <n v="289"/>
    <n v="1390"/>
    <x v="23"/>
    <x v="2"/>
    <x v="1"/>
    <x v="286"/>
    <n v="34"/>
    <n v="266769"/>
  </r>
  <r>
    <n v="290"/>
    <n v="3432"/>
    <x v="0"/>
    <x v="2"/>
    <x v="0"/>
    <x v="287"/>
    <n v="28"/>
    <n v="220626"/>
  </r>
  <r>
    <n v="291"/>
    <n v="6674"/>
    <x v="36"/>
    <x v="1"/>
    <x v="1"/>
    <x v="288"/>
    <n v="11"/>
    <n v="87783"/>
  </r>
  <r>
    <n v="292"/>
    <n v="9406"/>
    <x v="40"/>
    <x v="3"/>
    <x v="1"/>
    <x v="289"/>
    <n v="28"/>
    <n v="222819"/>
  </r>
  <r>
    <n v="293"/>
    <n v="5410"/>
    <x v="3"/>
    <x v="0"/>
    <x v="0"/>
    <x v="290"/>
    <n v="19"/>
    <n v="156891"/>
  </r>
  <r>
    <n v="294"/>
    <n v="1985"/>
    <x v="12"/>
    <x v="2"/>
    <x v="1"/>
    <x v="291"/>
    <n v="20"/>
    <n v="166454"/>
  </r>
  <r>
    <n v="295"/>
    <n v="1586"/>
    <x v="32"/>
    <x v="0"/>
    <x v="0"/>
    <x v="292"/>
    <n v="28"/>
    <n v="219860"/>
  </r>
  <r>
    <n v="296"/>
    <n v="6512"/>
    <x v="16"/>
    <x v="3"/>
    <x v="0"/>
    <x v="237"/>
    <n v="14"/>
    <n v="119827"/>
  </r>
  <r>
    <n v="297"/>
    <n v="4130"/>
    <x v="28"/>
    <x v="4"/>
    <x v="1"/>
    <x v="293"/>
    <n v="25"/>
    <n v="200843"/>
  </r>
  <r>
    <n v="298"/>
    <n v="1545"/>
    <x v="8"/>
    <x v="1"/>
    <x v="1"/>
    <x v="294"/>
    <n v="17"/>
    <n v="134412"/>
  </r>
  <r>
    <n v="299"/>
    <n v="8876"/>
    <x v="37"/>
    <x v="1"/>
    <x v="1"/>
    <x v="295"/>
    <n v="29"/>
    <n v="232716"/>
  </r>
  <r>
    <n v="300"/>
    <n v="6444"/>
    <x v="9"/>
    <x v="0"/>
    <x v="0"/>
    <x v="296"/>
    <n v="13"/>
    <n v="103933"/>
  </r>
  <r>
    <n v="301"/>
    <n v="6852"/>
    <x v="13"/>
    <x v="1"/>
    <x v="0"/>
    <x v="297"/>
    <n v="12"/>
    <n v="92047"/>
  </r>
  <r>
    <n v="302"/>
    <n v="7321"/>
    <x v="24"/>
    <x v="1"/>
    <x v="1"/>
    <x v="298"/>
    <n v="22"/>
    <n v="172886"/>
  </r>
  <r>
    <n v="303"/>
    <n v="5556"/>
    <x v="20"/>
    <x v="4"/>
    <x v="1"/>
    <x v="299"/>
    <n v="17"/>
    <n v="138827"/>
  </r>
  <r>
    <n v="304"/>
    <n v="2377"/>
    <x v="29"/>
    <x v="0"/>
    <x v="1"/>
    <x v="300"/>
    <n v="22"/>
    <n v="180896"/>
  </r>
  <r>
    <n v="305"/>
    <n v="1169"/>
    <x v="42"/>
    <x v="1"/>
    <x v="0"/>
    <x v="301"/>
    <n v="17"/>
    <n v="130190"/>
  </r>
  <r>
    <n v="306"/>
    <n v="3130"/>
    <x v="37"/>
    <x v="4"/>
    <x v="1"/>
    <x v="302"/>
    <n v="26"/>
    <n v="215277"/>
  </r>
  <r>
    <n v="307"/>
    <n v="8296"/>
    <x v="19"/>
    <x v="2"/>
    <x v="1"/>
    <x v="303"/>
    <n v="26"/>
    <n v="206424"/>
  </r>
  <r>
    <n v="308"/>
    <n v="1465"/>
    <x v="17"/>
    <x v="3"/>
    <x v="1"/>
    <x v="304"/>
    <n v="23"/>
    <n v="183184"/>
  </r>
  <r>
    <n v="309"/>
    <n v="2460"/>
    <x v="17"/>
    <x v="2"/>
    <x v="0"/>
    <x v="305"/>
    <n v="27"/>
    <n v="214559"/>
  </r>
  <r>
    <n v="310"/>
    <n v="5218"/>
    <x v="9"/>
    <x v="4"/>
    <x v="0"/>
    <x v="306"/>
    <n v="13"/>
    <n v="108976"/>
  </r>
  <r>
    <n v="311"/>
    <n v="2582"/>
    <x v="4"/>
    <x v="1"/>
    <x v="0"/>
    <x v="307"/>
    <n v="28"/>
    <n v="219409"/>
  </r>
  <r>
    <n v="312"/>
    <n v="7872"/>
    <x v="0"/>
    <x v="3"/>
    <x v="1"/>
    <x v="308"/>
    <n v="28"/>
    <n v="227772"/>
  </r>
  <r>
    <n v="313"/>
    <n v="1548"/>
    <x v="19"/>
    <x v="3"/>
    <x v="0"/>
    <x v="309"/>
    <n v="21"/>
    <n v="165170"/>
  </r>
  <r>
    <n v="314"/>
    <n v="6510"/>
    <x v="6"/>
    <x v="0"/>
    <x v="0"/>
    <x v="310"/>
    <n v="29"/>
    <n v="234199"/>
  </r>
  <r>
    <n v="315"/>
    <n v="6788"/>
    <x v="22"/>
    <x v="0"/>
    <x v="0"/>
    <x v="311"/>
    <n v="26"/>
    <n v="212050"/>
  </r>
  <r>
    <n v="316"/>
    <n v="7404"/>
    <x v="21"/>
    <x v="4"/>
    <x v="1"/>
    <x v="312"/>
    <n v="31"/>
    <n v="249856"/>
  </r>
  <r>
    <n v="317"/>
    <n v="6438"/>
    <x v="20"/>
    <x v="2"/>
    <x v="1"/>
    <x v="313"/>
    <n v="18"/>
    <n v="149464"/>
  </r>
  <r>
    <n v="318"/>
    <n v="4847"/>
    <x v="20"/>
    <x v="1"/>
    <x v="1"/>
    <x v="70"/>
    <n v="16"/>
    <n v="124970"/>
  </r>
  <r>
    <n v="319"/>
    <n v="7292"/>
    <x v="4"/>
    <x v="3"/>
    <x v="1"/>
    <x v="314"/>
    <n v="32"/>
    <n v="256982"/>
  </r>
  <r>
    <n v="320"/>
    <n v="6925"/>
    <x v="4"/>
    <x v="4"/>
    <x v="0"/>
    <x v="315"/>
    <n v="31"/>
    <n v="243928"/>
  </r>
  <r>
    <n v="321"/>
    <n v="2232"/>
    <x v="29"/>
    <x v="3"/>
    <x v="1"/>
    <x v="316"/>
    <n v="23"/>
    <n v="189606"/>
  </r>
  <r>
    <n v="322"/>
    <n v="3471"/>
    <x v="16"/>
    <x v="2"/>
    <x v="0"/>
    <x v="317"/>
    <n v="16"/>
    <n v="124879"/>
  </r>
  <r>
    <n v="323"/>
    <n v="3537"/>
    <x v="8"/>
    <x v="0"/>
    <x v="1"/>
    <x v="318"/>
    <n v="15"/>
    <n v="121239"/>
  </r>
  <r>
    <n v="324"/>
    <n v="9164"/>
    <x v="13"/>
    <x v="0"/>
    <x v="0"/>
    <x v="319"/>
    <n v="9"/>
    <n v="75895"/>
  </r>
  <r>
    <n v="325"/>
    <n v="6318"/>
    <x v="27"/>
    <x v="2"/>
    <x v="0"/>
    <x v="320"/>
    <n v="22"/>
    <n v="176472"/>
  </r>
  <r>
    <n v="326"/>
    <n v="9734"/>
    <x v="18"/>
    <x v="2"/>
    <x v="1"/>
    <x v="321"/>
    <n v="27"/>
    <n v="212809"/>
  </r>
  <r>
    <n v="327"/>
    <n v="6820"/>
    <x v="27"/>
    <x v="1"/>
    <x v="0"/>
    <x v="322"/>
    <n v="20"/>
    <n v="163828"/>
  </r>
  <r>
    <n v="328"/>
    <n v="5827"/>
    <x v="36"/>
    <x v="3"/>
    <x v="0"/>
    <x v="323"/>
    <n v="13"/>
    <n v="108619"/>
  </r>
  <r>
    <n v="329"/>
    <n v="5708"/>
    <x v="20"/>
    <x v="3"/>
    <x v="1"/>
    <x v="324"/>
    <n v="19"/>
    <n v="152992"/>
  </r>
  <r>
    <n v="330"/>
    <n v="9126"/>
    <x v="11"/>
    <x v="2"/>
    <x v="0"/>
    <x v="325"/>
    <n v="20"/>
    <n v="154462"/>
  </r>
  <r>
    <n v="331"/>
    <n v="1862"/>
    <x v="42"/>
    <x v="1"/>
    <x v="1"/>
    <x v="326"/>
    <n v="18"/>
    <n v="143605"/>
  </r>
  <r>
    <n v="332"/>
    <n v="3905"/>
    <x v="42"/>
    <x v="0"/>
    <x v="0"/>
    <x v="327"/>
    <n v="15"/>
    <n v="117870"/>
  </r>
  <r>
    <n v="333"/>
    <n v="5504"/>
    <x v="21"/>
    <x v="0"/>
    <x v="1"/>
    <x v="328"/>
    <n v="28"/>
    <n v="223902"/>
  </r>
  <r>
    <n v="334"/>
    <n v="1819"/>
    <x v="5"/>
    <x v="3"/>
    <x v="1"/>
    <x v="329"/>
    <n v="14"/>
    <n v="115875"/>
  </r>
  <r>
    <n v="335"/>
    <n v="2901"/>
    <x v="29"/>
    <x v="2"/>
    <x v="0"/>
    <x v="330"/>
    <n v="24"/>
    <n v="187168"/>
  </r>
  <r>
    <n v="336"/>
    <n v="8229"/>
    <x v="6"/>
    <x v="2"/>
    <x v="1"/>
    <x v="331"/>
    <n v="33"/>
    <n v="265624"/>
  </r>
  <r>
    <n v="337"/>
    <n v="9442"/>
    <x v="23"/>
    <x v="2"/>
    <x v="0"/>
    <x v="332"/>
    <n v="32"/>
    <n v="259400"/>
  </r>
  <r>
    <n v="338"/>
    <n v="4796"/>
    <x v="1"/>
    <x v="0"/>
    <x v="1"/>
    <x v="333"/>
    <n v="15"/>
    <n v="113486"/>
  </r>
  <r>
    <n v="339"/>
    <n v="1890"/>
    <x v="35"/>
    <x v="2"/>
    <x v="1"/>
    <x v="334"/>
    <n v="13"/>
    <n v="102162"/>
  </r>
  <r>
    <n v="340"/>
    <n v="2321"/>
    <x v="18"/>
    <x v="3"/>
    <x v="1"/>
    <x v="335"/>
    <n v="25"/>
    <n v="200331"/>
  </r>
  <r>
    <n v="341"/>
    <n v="6947"/>
    <x v="34"/>
    <x v="0"/>
    <x v="1"/>
    <x v="336"/>
    <n v="18"/>
    <n v="143134"/>
  </r>
  <r>
    <n v="342"/>
    <n v="2401"/>
    <x v="12"/>
    <x v="1"/>
    <x v="1"/>
    <x v="337"/>
    <n v="20"/>
    <n v="152367"/>
  </r>
  <r>
    <n v="343"/>
    <n v="3015"/>
    <x v="23"/>
    <x v="4"/>
    <x v="0"/>
    <x v="338"/>
    <n v="31"/>
    <n v="241831"/>
  </r>
  <r>
    <n v="344"/>
    <n v="6354"/>
    <x v="29"/>
    <x v="0"/>
    <x v="1"/>
    <x v="339"/>
    <n v="22"/>
    <n v="174392"/>
  </r>
  <r>
    <n v="345"/>
    <n v="9023"/>
    <x v="24"/>
    <x v="1"/>
    <x v="1"/>
    <x v="340"/>
    <n v="21"/>
    <n v="166153"/>
  </r>
  <r>
    <n v="346"/>
    <n v="9431"/>
    <x v="26"/>
    <x v="4"/>
    <x v="0"/>
    <x v="341"/>
    <n v="14"/>
    <n v="116114"/>
  </r>
  <r>
    <n v="347"/>
    <n v="1279"/>
    <x v="21"/>
    <x v="1"/>
    <x v="0"/>
    <x v="342"/>
    <n v="26"/>
    <n v="215298"/>
  </r>
  <r>
    <n v="348"/>
    <n v="5865"/>
    <x v="24"/>
    <x v="1"/>
    <x v="0"/>
    <x v="343"/>
    <n v="20"/>
    <n v="161836"/>
  </r>
  <r>
    <n v="349"/>
    <n v="8816"/>
    <x v="11"/>
    <x v="4"/>
    <x v="1"/>
    <x v="344"/>
    <n v="21"/>
    <n v="156464"/>
  </r>
  <r>
    <n v="350"/>
    <n v="7352"/>
    <x v="10"/>
    <x v="2"/>
    <x v="1"/>
    <x v="345"/>
    <n v="21"/>
    <n v="161728"/>
  </r>
  <r>
    <n v="351"/>
    <n v="8570"/>
    <x v="35"/>
    <x v="2"/>
    <x v="1"/>
    <x v="346"/>
    <n v="13"/>
    <n v="108822"/>
  </r>
  <r>
    <n v="352"/>
    <n v="7873"/>
    <x v="23"/>
    <x v="4"/>
    <x v="1"/>
    <x v="347"/>
    <n v="31"/>
    <n v="242129"/>
  </r>
  <r>
    <n v="353"/>
    <n v="5037"/>
    <x v="17"/>
    <x v="4"/>
    <x v="1"/>
    <x v="348"/>
    <n v="25"/>
    <n v="208439"/>
  </r>
  <r>
    <n v="354"/>
    <n v="6812"/>
    <x v="5"/>
    <x v="2"/>
    <x v="1"/>
    <x v="349"/>
    <n v="16"/>
    <n v="132859"/>
  </r>
  <r>
    <n v="355"/>
    <n v="6228"/>
    <x v="22"/>
    <x v="4"/>
    <x v="0"/>
    <x v="350"/>
    <n v="25"/>
    <n v="197639"/>
  </r>
  <r>
    <n v="356"/>
    <n v="1541"/>
    <x v="36"/>
    <x v="4"/>
    <x v="1"/>
    <x v="351"/>
    <n v="11"/>
    <n v="78632"/>
  </r>
  <r>
    <n v="357"/>
    <n v="4009"/>
    <x v="9"/>
    <x v="0"/>
    <x v="1"/>
    <x v="352"/>
    <n v="11"/>
    <n v="80817"/>
  </r>
  <r>
    <n v="358"/>
    <n v="8185"/>
    <x v="29"/>
    <x v="4"/>
    <x v="0"/>
    <x v="353"/>
    <n v="20"/>
    <n v="169224"/>
  </r>
  <r>
    <n v="359"/>
    <n v="8399"/>
    <x v="38"/>
    <x v="3"/>
    <x v="1"/>
    <x v="354"/>
    <n v="9"/>
    <n v="69736"/>
  </r>
  <r>
    <n v="360"/>
    <n v="4196"/>
    <x v="18"/>
    <x v="2"/>
    <x v="0"/>
    <x v="355"/>
    <n v="22"/>
    <n v="172041"/>
  </r>
  <r>
    <n v="361"/>
    <n v="1944"/>
    <x v="17"/>
    <x v="1"/>
    <x v="0"/>
    <x v="356"/>
    <n v="22"/>
    <n v="175269"/>
  </r>
  <r>
    <n v="362"/>
    <n v="4672"/>
    <x v="36"/>
    <x v="1"/>
    <x v="0"/>
    <x v="357"/>
    <n v="12"/>
    <n v="96587"/>
  </r>
  <r>
    <n v="363"/>
    <n v="2424"/>
    <x v="4"/>
    <x v="0"/>
    <x v="1"/>
    <x v="358"/>
    <n v="28"/>
    <n v="228121"/>
  </r>
  <r>
    <n v="364"/>
    <n v="3389"/>
    <x v="41"/>
    <x v="2"/>
    <x v="0"/>
    <x v="359"/>
    <n v="28"/>
    <n v="219082"/>
  </r>
  <r>
    <n v="365"/>
    <n v="9010"/>
    <x v="2"/>
    <x v="1"/>
    <x v="1"/>
    <x v="360"/>
    <n v="14"/>
    <n v="112660"/>
  </r>
  <r>
    <n v="366"/>
    <n v="7713"/>
    <x v="28"/>
    <x v="1"/>
    <x v="1"/>
    <x v="361"/>
    <n v="24"/>
    <n v="192120"/>
  </r>
  <r>
    <n v="367"/>
    <n v="4303"/>
    <x v="34"/>
    <x v="0"/>
    <x v="0"/>
    <x v="362"/>
    <n v="17"/>
    <n v="138446"/>
  </r>
  <r>
    <n v="368"/>
    <n v="7683"/>
    <x v="23"/>
    <x v="2"/>
    <x v="1"/>
    <x v="363"/>
    <n v="31"/>
    <n v="248320"/>
  </r>
  <r>
    <n v="369"/>
    <n v="7362"/>
    <x v="17"/>
    <x v="2"/>
    <x v="0"/>
    <x v="364"/>
    <n v="20"/>
    <n v="156711"/>
  </r>
  <r>
    <n v="370"/>
    <n v="1718"/>
    <x v="17"/>
    <x v="4"/>
    <x v="1"/>
    <x v="365"/>
    <n v="28"/>
    <n v="226499"/>
  </r>
  <r>
    <n v="371"/>
    <n v="6548"/>
    <x v="41"/>
    <x v="4"/>
    <x v="0"/>
    <x v="366"/>
    <n v="27"/>
    <n v="207647"/>
  </r>
  <r>
    <n v="372"/>
    <n v="6273"/>
    <x v="20"/>
    <x v="3"/>
    <x v="0"/>
    <x v="367"/>
    <n v="19"/>
    <n v="150282"/>
  </r>
  <r>
    <n v="373"/>
    <n v="5076"/>
    <x v="30"/>
    <x v="2"/>
    <x v="1"/>
    <x v="368"/>
    <n v="36"/>
    <n v="293410"/>
  </r>
  <r>
    <n v="374"/>
    <n v="6914"/>
    <x v="9"/>
    <x v="1"/>
    <x v="0"/>
    <x v="369"/>
    <n v="9"/>
    <n v="66124"/>
  </r>
  <r>
    <n v="375"/>
    <n v="1068"/>
    <x v="19"/>
    <x v="4"/>
    <x v="0"/>
    <x v="370"/>
    <n v="20"/>
    <n v="162792"/>
  </r>
  <r>
    <n v="376"/>
    <n v="1539"/>
    <x v="27"/>
    <x v="0"/>
    <x v="1"/>
    <x v="371"/>
    <n v="22"/>
    <n v="169701"/>
  </r>
  <r>
    <n v="377"/>
    <n v="2565"/>
    <x v="35"/>
    <x v="0"/>
    <x v="0"/>
    <x v="372"/>
    <n v="12"/>
    <n v="89021"/>
  </r>
  <r>
    <n v="378"/>
    <n v="7334"/>
    <x v="30"/>
    <x v="4"/>
    <x v="1"/>
    <x v="373"/>
    <n v="31"/>
    <n v="253048"/>
  </r>
  <r>
    <n v="379"/>
    <n v="2974"/>
    <x v="26"/>
    <x v="1"/>
    <x v="0"/>
    <x v="374"/>
    <n v="7"/>
    <n v="43177"/>
  </r>
  <r>
    <n v="380"/>
    <n v="2346"/>
    <x v="33"/>
    <x v="4"/>
    <x v="0"/>
    <x v="375"/>
    <n v="13"/>
    <n v="103682"/>
  </r>
  <r>
    <n v="381"/>
    <n v="2800"/>
    <x v="2"/>
    <x v="4"/>
    <x v="0"/>
    <x v="376"/>
    <n v="16"/>
    <n v="129947"/>
  </r>
  <r>
    <n v="382"/>
    <n v="4437"/>
    <x v="23"/>
    <x v="0"/>
    <x v="1"/>
    <x v="377"/>
    <n v="29"/>
    <n v="227252"/>
  </r>
  <r>
    <n v="383"/>
    <n v="6007"/>
    <x v="16"/>
    <x v="1"/>
    <x v="0"/>
    <x v="378"/>
    <n v="15"/>
    <n v="127305"/>
  </r>
  <r>
    <n v="384"/>
    <n v="2510"/>
    <x v="10"/>
    <x v="3"/>
    <x v="1"/>
    <x v="379"/>
    <n v="24"/>
    <n v="184578"/>
  </r>
  <r>
    <n v="385"/>
    <n v="7197"/>
    <x v="14"/>
    <x v="4"/>
    <x v="0"/>
    <x v="380"/>
    <n v="23"/>
    <n v="189031"/>
  </r>
  <r>
    <n v="386"/>
    <n v="5262"/>
    <x v="4"/>
    <x v="2"/>
    <x v="0"/>
    <x v="381"/>
    <n v="30"/>
    <n v="242312"/>
  </r>
  <r>
    <n v="387"/>
    <n v="4315"/>
    <x v="19"/>
    <x v="1"/>
    <x v="0"/>
    <x v="382"/>
    <n v="24"/>
    <n v="199412"/>
  </r>
  <r>
    <n v="388"/>
    <n v="8268"/>
    <x v="27"/>
    <x v="2"/>
    <x v="0"/>
    <x v="383"/>
    <n v="22"/>
    <n v="181466"/>
  </r>
  <r>
    <n v="389"/>
    <n v="6197"/>
    <x v="4"/>
    <x v="3"/>
    <x v="0"/>
    <x v="384"/>
    <n v="32"/>
    <n v="249787"/>
  </r>
  <r>
    <n v="390"/>
    <n v="6190"/>
    <x v="9"/>
    <x v="4"/>
    <x v="1"/>
    <x v="385"/>
    <n v="10"/>
    <n v="75579"/>
  </r>
  <r>
    <n v="391"/>
    <n v="8585"/>
    <x v="7"/>
    <x v="1"/>
    <x v="0"/>
    <x v="386"/>
    <n v="14"/>
    <n v="110956"/>
  </r>
  <r>
    <n v="392"/>
    <n v="4689"/>
    <x v="18"/>
    <x v="2"/>
    <x v="0"/>
    <x v="387"/>
    <n v="25"/>
    <n v="205417"/>
  </r>
  <r>
    <n v="393"/>
    <n v="9048"/>
    <x v="24"/>
    <x v="0"/>
    <x v="0"/>
    <x v="388"/>
    <n v="25"/>
    <n v="196804"/>
  </r>
  <r>
    <n v="394"/>
    <n v="7445"/>
    <x v="29"/>
    <x v="4"/>
    <x v="0"/>
    <x v="389"/>
    <n v="21"/>
    <n v="171101"/>
  </r>
  <r>
    <n v="395"/>
    <n v="2129"/>
    <x v="36"/>
    <x v="4"/>
    <x v="0"/>
    <x v="390"/>
    <n v="12"/>
    <n v="103203"/>
  </r>
  <r>
    <n v="396"/>
    <n v="2973"/>
    <x v="35"/>
    <x v="0"/>
    <x v="1"/>
    <x v="391"/>
    <n v="15"/>
    <n v="120056"/>
  </r>
  <r>
    <n v="397"/>
    <n v="5722"/>
    <x v="2"/>
    <x v="1"/>
    <x v="1"/>
    <x v="392"/>
    <n v="16"/>
    <n v="136030"/>
  </r>
  <r>
    <n v="398"/>
    <n v="4334"/>
    <x v="37"/>
    <x v="4"/>
    <x v="0"/>
    <x v="393"/>
    <n v="28"/>
    <n v="225695"/>
  </r>
  <r>
    <n v="399"/>
    <n v="3900"/>
    <x v="24"/>
    <x v="4"/>
    <x v="1"/>
    <x v="394"/>
    <n v="18"/>
    <n v="140411"/>
  </r>
  <r>
    <n v="400"/>
    <n v="9317"/>
    <x v="14"/>
    <x v="0"/>
    <x v="1"/>
    <x v="395"/>
    <n v="21"/>
    <n v="169472"/>
  </r>
  <r>
    <n v="401"/>
    <n v="7802"/>
    <x v="9"/>
    <x v="0"/>
    <x v="0"/>
    <x v="396"/>
    <n v="12"/>
    <n v="94602"/>
  </r>
  <r>
    <n v="402"/>
    <n v="3189"/>
    <x v="11"/>
    <x v="0"/>
    <x v="1"/>
    <x v="397"/>
    <n v="22"/>
    <n v="176423"/>
  </r>
  <r>
    <n v="403"/>
    <n v="2803"/>
    <x v="12"/>
    <x v="0"/>
    <x v="1"/>
    <x v="398"/>
    <n v="20"/>
    <n v="173046"/>
  </r>
  <r>
    <n v="404"/>
    <n v="9086"/>
    <x v="35"/>
    <x v="2"/>
    <x v="0"/>
    <x v="399"/>
    <n v="12"/>
    <n v="82230"/>
  </r>
  <r>
    <n v="405"/>
    <n v="9975"/>
    <x v="26"/>
    <x v="4"/>
    <x v="1"/>
    <x v="400"/>
    <n v="9"/>
    <n v="65079"/>
  </r>
  <r>
    <n v="406"/>
    <n v="8328"/>
    <x v="10"/>
    <x v="1"/>
    <x v="1"/>
    <x v="401"/>
    <n v="24"/>
    <n v="194961"/>
  </r>
  <r>
    <n v="407"/>
    <n v="1695"/>
    <x v="40"/>
    <x v="4"/>
    <x v="0"/>
    <x v="402"/>
    <n v="24"/>
    <n v="192619"/>
  </r>
  <r>
    <n v="408"/>
    <n v="6633"/>
    <x v="36"/>
    <x v="3"/>
    <x v="0"/>
    <x v="403"/>
    <n v="16"/>
    <n v="123888"/>
  </r>
  <r>
    <n v="409"/>
    <n v="5922"/>
    <x v="41"/>
    <x v="1"/>
    <x v="1"/>
    <x v="404"/>
    <n v="29"/>
    <n v="225741"/>
  </r>
  <r>
    <n v="410"/>
    <n v="4364"/>
    <x v="21"/>
    <x v="0"/>
    <x v="0"/>
    <x v="405"/>
    <n v="28"/>
    <n v="221040"/>
  </r>
  <r>
    <n v="411"/>
    <n v="9938"/>
    <x v="8"/>
    <x v="3"/>
    <x v="0"/>
    <x v="406"/>
    <n v="16"/>
    <n v="133650"/>
  </r>
  <r>
    <n v="412"/>
    <n v="4303"/>
    <x v="5"/>
    <x v="2"/>
    <x v="0"/>
    <x v="407"/>
    <n v="11"/>
    <n v="93339"/>
  </r>
  <r>
    <n v="413"/>
    <n v="4845"/>
    <x v="27"/>
    <x v="0"/>
    <x v="0"/>
    <x v="408"/>
    <n v="20"/>
    <n v="163242"/>
  </r>
  <r>
    <n v="414"/>
    <n v="8086"/>
    <x v="33"/>
    <x v="4"/>
    <x v="0"/>
    <x v="409"/>
    <n v="16"/>
    <n v="126451"/>
  </r>
  <r>
    <n v="415"/>
    <n v="4245"/>
    <x v="9"/>
    <x v="3"/>
    <x v="0"/>
    <x v="410"/>
    <n v="11"/>
    <n v="91619"/>
  </r>
  <r>
    <n v="416"/>
    <n v="6736"/>
    <x v="11"/>
    <x v="2"/>
    <x v="1"/>
    <x v="411"/>
    <n v="20"/>
    <n v="171600"/>
  </r>
  <r>
    <n v="417"/>
    <n v="9276"/>
    <x v="9"/>
    <x v="4"/>
    <x v="0"/>
    <x v="412"/>
    <n v="10"/>
    <n v="75749"/>
  </r>
  <r>
    <n v="418"/>
    <n v="4411"/>
    <x v="33"/>
    <x v="2"/>
    <x v="1"/>
    <x v="413"/>
    <n v="19"/>
    <n v="146689"/>
  </r>
  <r>
    <n v="419"/>
    <n v="3693"/>
    <x v="33"/>
    <x v="4"/>
    <x v="1"/>
    <x v="414"/>
    <n v="17"/>
    <n v="141159"/>
  </r>
  <r>
    <n v="420"/>
    <n v="1513"/>
    <x v="12"/>
    <x v="0"/>
    <x v="0"/>
    <x v="415"/>
    <n v="18"/>
    <n v="143584"/>
  </r>
  <r>
    <n v="421"/>
    <n v="6094"/>
    <x v="2"/>
    <x v="2"/>
    <x v="1"/>
    <x v="416"/>
    <n v="12"/>
    <n v="92136"/>
  </r>
  <r>
    <n v="422"/>
    <n v="9908"/>
    <x v="31"/>
    <x v="4"/>
    <x v="0"/>
    <x v="417"/>
    <n v="26"/>
    <n v="204041"/>
  </r>
  <r>
    <n v="423"/>
    <n v="5991"/>
    <x v="0"/>
    <x v="3"/>
    <x v="0"/>
    <x v="418"/>
    <n v="29"/>
    <n v="227146"/>
  </r>
  <r>
    <n v="424"/>
    <n v="8398"/>
    <x v="33"/>
    <x v="0"/>
    <x v="1"/>
    <x v="419"/>
    <n v="14"/>
    <n v="107232"/>
  </r>
  <r>
    <n v="425"/>
    <n v="2660"/>
    <x v="41"/>
    <x v="1"/>
    <x v="0"/>
    <x v="420"/>
    <n v="28"/>
    <n v="222824"/>
  </r>
  <r>
    <n v="426"/>
    <n v="7255"/>
    <x v="20"/>
    <x v="0"/>
    <x v="0"/>
    <x v="421"/>
    <n v="21"/>
    <n v="162790"/>
  </r>
  <r>
    <n v="427"/>
    <n v="2687"/>
    <x v="28"/>
    <x v="4"/>
    <x v="1"/>
    <x v="422"/>
    <n v="18"/>
    <n v="150069"/>
  </r>
  <r>
    <n v="428"/>
    <n v="8717"/>
    <x v="24"/>
    <x v="0"/>
    <x v="0"/>
    <x v="423"/>
    <n v="22"/>
    <n v="172707"/>
  </r>
  <r>
    <n v="429"/>
    <n v="1471"/>
    <x v="17"/>
    <x v="4"/>
    <x v="0"/>
    <x v="424"/>
    <n v="25"/>
    <n v="200491"/>
  </r>
  <r>
    <n v="430"/>
    <n v="3188"/>
    <x v="6"/>
    <x v="0"/>
    <x v="0"/>
    <x v="425"/>
    <n v="31"/>
    <n v="247653"/>
  </r>
  <r>
    <n v="431"/>
    <n v="7435"/>
    <x v="17"/>
    <x v="0"/>
    <x v="0"/>
    <x v="426"/>
    <n v="24"/>
    <n v="191755"/>
  </r>
  <r>
    <n v="432"/>
    <n v="2002"/>
    <x v="36"/>
    <x v="1"/>
    <x v="1"/>
    <x v="427"/>
    <n v="15"/>
    <n v="125131"/>
  </r>
  <r>
    <n v="433"/>
    <n v="5880"/>
    <x v="27"/>
    <x v="1"/>
    <x v="0"/>
    <x v="428"/>
    <n v="21"/>
    <n v="164265"/>
  </r>
  <r>
    <n v="434"/>
    <n v="4796"/>
    <x v="1"/>
    <x v="1"/>
    <x v="0"/>
    <x v="429"/>
    <n v="15"/>
    <n v="109701"/>
  </r>
  <r>
    <n v="435"/>
    <n v="7768"/>
    <x v="31"/>
    <x v="1"/>
    <x v="0"/>
    <x v="430"/>
    <n v="29"/>
    <n v="238477"/>
  </r>
  <r>
    <n v="436"/>
    <n v="4407"/>
    <x v="22"/>
    <x v="3"/>
    <x v="0"/>
    <x v="431"/>
    <n v="24"/>
    <n v="193938"/>
  </r>
  <r>
    <n v="437"/>
    <n v="4747"/>
    <x v="17"/>
    <x v="2"/>
    <x v="0"/>
    <x v="432"/>
    <n v="20"/>
    <n v="156976"/>
  </r>
  <r>
    <n v="438"/>
    <n v="9893"/>
    <x v="21"/>
    <x v="1"/>
    <x v="0"/>
    <x v="433"/>
    <n v="29"/>
    <n v="229200"/>
  </r>
  <r>
    <n v="439"/>
    <n v="1779"/>
    <x v="19"/>
    <x v="1"/>
    <x v="0"/>
    <x v="434"/>
    <n v="24"/>
    <n v="194985"/>
  </r>
  <r>
    <n v="440"/>
    <n v="3531"/>
    <x v="25"/>
    <x v="3"/>
    <x v="1"/>
    <x v="435"/>
    <n v="19"/>
    <n v="150665"/>
  </r>
  <r>
    <n v="441"/>
    <n v="9943"/>
    <x v="14"/>
    <x v="2"/>
    <x v="0"/>
    <x v="436"/>
    <n v="22"/>
    <n v="187991"/>
  </r>
  <r>
    <n v="442"/>
    <n v="6308"/>
    <x v="40"/>
    <x v="2"/>
    <x v="0"/>
    <x v="437"/>
    <n v="26"/>
    <n v="202446"/>
  </r>
  <r>
    <n v="443"/>
    <n v="4784"/>
    <x v="40"/>
    <x v="0"/>
    <x v="1"/>
    <x v="438"/>
    <n v="25"/>
    <n v="203933"/>
  </r>
  <r>
    <n v="444"/>
    <n v="8665"/>
    <x v="32"/>
    <x v="1"/>
    <x v="1"/>
    <x v="439"/>
    <n v="29"/>
    <n v="234277"/>
  </r>
  <r>
    <n v="445"/>
    <n v="8492"/>
    <x v="21"/>
    <x v="3"/>
    <x v="1"/>
    <x v="440"/>
    <n v="28"/>
    <n v="225715"/>
  </r>
  <r>
    <n v="446"/>
    <n v="2639"/>
    <x v="38"/>
    <x v="3"/>
    <x v="0"/>
    <x v="441"/>
    <n v="10"/>
    <n v="75812"/>
  </r>
  <r>
    <n v="447"/>
    <n v="3328"/>
    <x v="38"/>
    <x v="1"/>
    <x v="1"/>
    <x v="442"/>
    <n v="8"/>
    <n v="68134"/>
  </r>
  <r>
    <n v="448"/>
    <n v="3255"/>
    <x v="22"/>
    <x v="0"/>
    <x v="0"/>
    <x v="443"/>
    <n v="20"/>
    <n v="155985"/>
  </r>
  <r>
    <n v="449"/>
    <n v="4651"/>
    <x v="28"/>
    <x v="0"/>
    <x v="1"/>
    <x v="444"/>
    <n v="27"/>
    <n v="222685"/>
  </r>
  <r>
    <n v="450"/>
    <n v="6391"/>
    <x v="17"/>
    <x v="1"/>
    <x v="0"/>
    <x v="445"/>
    <n v="28"/>
    <n v="220500"/>
  </r>
  <r>
    <n v="451"/>
    <n v="9655"/>
    <x v="5"/>
    <x v="0"/>
    <x v="1"/>
    <x v="446"/>
    <n v="15"/>
    <n v="126388"/>
  </r>
  <r>
    <n v="452"/>
    <n v="6856"/>
    <x v="20"/>
    <x v="1"/>
    <x v="1"/>
    <x v="447"/>
    <n v="21"/>
    <n v="169212"/>
  </r>
  <r>
    <n v="453"/>
    <n v="7141"/>
    <x v="14"/>
    <x v="3"/>
    <x v="1"/>
    <x v="448"/>
    <n v="24"/>
    <n v="186015"/>
  </r>
  <r>
    <n v="454"/>
    <n v="2259"/>
    <x v="18"/>
    <x v="0"/>
    <x v="1"/>
    <x v="449"/>
    <n v="27"/>
    <n v="217544"/>
  </r>
  <r>
    <n v="455"/>
    <n v="5518"/>
    <x v="7"/>
    <x v="2"/>
    <x v="1"/>
    <x v="450"/>
    <n v="17"/>
    <n v="128767"/>
  </r>
  <r>
    <n v="456"/>
    <n v="5641"/>
    <x v="0"/>
    <x v="2"/>
    <x v="0"/>
    <x v="451"/>
    <n v="27"/>
    <n v="216812"/>
  </r>
  <r>
    <n v="457"/>
    <n v="8734"/>
    <x v="28"/>
    <x v="3"/>
    <x v="0"/>
    <x v="452"/>
    <n v="21"/>
    <n v="174984"/>
  </r>
  <r>
    <n v="458"/>
    <n v="7473"/>
    <x v="17"/>
    <x v="1"/>
    <x v="1"/>
    <x v="453"/>
    <n v="24"/>
    <n v="192274"/>
  </r>
  <r>
    <n v="459"/>
    <n v="8293"/>
    <x v="18"/>
    <x v="4"/>
    <x v="1"/>
    <x v="454"/>
    <n v="28"/>
    <n v="216683"/>
  </r>
  <r>
    <n v="460"/>
    <n v="1014"/>
    <x v="10"/>
    <x v="3"/>
    <x v="0"/>
    <x v="455"/>
    <n v="22"/>
    <n v="184887"/>
  </r>
  <r>
    <n v="461"/>
    <n v="4824"/>
    <x v="27"/>
    <x v="1"/>
    <x v="1"/>
    <x v="456"/>
    <n v="21"/>
    <n v="160580"/>
  </r>
  <r>
    <n v="462"/>
    <n v="8260"/>
    <x v="40"/>
    <x v="2"/>
    <x v="0"/>
    <x v="457"/>
    <n v="30"/>
    <n v="245031"/>
  </r>
  <r>
    <n v="463"/>
    <n v="8101"/>
    <x v="18"/>
    <x v="3"/>
    <x v="1"/>
    <x v="458"/>
    <n v="19"/>
    <n v="148735"/>
  </r>
  <r>
    <n v="464"/>
    <n v="1488"/>
    <x v="24"/>
    <x v="3"/>
    <x v="1"/>
    <x v="459"/>
    <n v="19"/>
    <n v="150934"/>
  </r>
  <r>
    <n v="465"/>
    <n v="9373"/>
    <x v="18"/>
    <x v="2"/>
    <x v="1"/>
    <x v="460"/>
    <n v="31"/>
    <n v="249071"/>
  </r>
  <r>
    <n v="466"/>
    <n v="2643"/>
    <x v="31"/>
    <x v="3"/>
    <x v="0"/>
    <x v="461"/>
    <n v="29"/>
    <n v="235550"/>
  </r>
  <r>
    <n v="467"/>
    <n v="1498"/>
    <x v="33"/>
    <x v="1"/>
    <x v="0"/>
    <x v="462"/>
    <n v="19"/>
    <n v="151124"/>
  </r>
  <r>
    <n v="468"/>
    <n v="1515"/>
    <x v="42"/>
    <x v="1"/>
    <x v="0"/>
    <x v="463"/>
    <n v="17"/>
    <n v="140001"/>
  </r>
  <r>
    <n v="469"/>
    <n v="1919"/>
    <x v="9"/>
    <x v="3"/>
    <x v="1"/>
    <x v="464"/>
    <n v="10"/>
    <n v="78834"/>
  </r>
  <r>
    <n v="470"/>
    <n v="4464"/>
    <x v="36"/>
    <x v="4"/>
    <x v="1"/>
    <x v="465"/>
    <n v="10"/>
    <n v="82592"/>
  </r>
  <r>
    <n v="471"/>
    <n v="6062"/>
    <x v="36"/>
    <x v="3"/>
    <x v="0"/>
    <x v="466"/>
    <n v="14"/>
    <n v="115688"/>
  </r>
  <r>
    <n v="472"/>
    <n v="8609"/>
    <x v="0"/>
    <x v="1"/>
    <x v="0"/>
    <x v="467"/>
    <n v="33"/>
    <n v="263818"/>
  </r>
  <r>
    <n v="473"/>
    <n v="3523"/>
    <x v="14"/>
    <x v="3"/>
    <x v="0"/>
    <x v="468"/>
    <n v="23"/>
    <n v="178139"/>
  </r>
  <r>
    <n v="474"/>
    <n v="7576"/>
    <x v="22"/>
    <x v="1"/>
    <x v="1"/>
    <x v="469"/>
    <n v="24"/>
    <n v="194575"/>
  </r>
  <r>
    <n v="475"/>
    <n v="9175"/>
    <x v="24"/>
    <x v="1"/>
    <x v="1"/>
    <x v="470"/>
    <n v="27"/>
    <n v="213467"/>
  </r>
  <r>
    <n v="476"/>
    <n v="4299"/>
    <x v="11"/>
    <x v="1"/>
    <x v="1"/>
    <x v="471"/>
    <n v="19"/>
    <n v="155006"/>
  </r>
  <r>
    <n v="477"/>
    <n v="1747"/>
    <x v="10"/>
    <x v="2"/>
    <x v="1"/>
    <x v="472"/>
    <n v="24"/>
    <n v="192646"/>
  </r>
  <r>
    <n v="478"/>
    <n v="5284"/>
    <x v="23"/>
    <x v="4"/>
    <x v="0"/>
    <x v="473"/>
    <n v="29"/>
    <n v="232123"/>
  </r>
  <r>
    <n v="479"/>
    <n v="3907"/>
    <x v="15"/>
    <x v="1"/>
    <x v="1"/>
    <x v="474"/>
    <n v="29"/>
    <n v="229395"/>
  </r>
  <r>
    <n v="480"/>
    <n v="3543"/>
    <x v="14"/>
    <x v="2"/>
    <x v="0"/>
    <x v="475"/>
    <n v="25"/>
    <n v="202850"/>
  </r>
  <r>
    <n v="481"/>
    <n v="5168"/>
    <x v="9"/>
    <x v="4"/>
    <x v="1"/>
    <x v="476"/>
    <n v="10"/>
    <n v="85536"/>
  </r>
  <r>
    <n v="482"/>
    <n v="2060"/>
    <x v="27"/>
    <x v="3"/>
    <x v="1"/>
    <x v="477"/>
    <n v="21"/>
    <n v="172003"/>
  </r>
  <r>
    <n v="483"/>
    <n v="5476"/>
    <x v="15"/>
    <x v="0"/>
    <x v="0"/>
    <x v="478"/>
    <n v="29"/>
    <n v="235111"/>
  </r>
  <r>
    <n v="484"/>
    <n v="5336"/>
    <x v="0"/>
    <x v="1"/>
    <x v="1"/>
    <x v="479"/>
    <n v="32"/>
    <n v="248177"/>
  </r>
  <r>
    <n v="485"/>
    <n v="7226"/>
    <x v="3"/>
    <x v="3"/>
    <x v="1"/>
    <x v="480"/>
    <n v="25"/>
    <n v="199358"/>
  </r>
  <r>
    <n v="486"/>
    <n v="7799"/>
    <x v="27"/>
    <x v="0"/>
    <x v="0"/>
    <x v="481"/>
    <n v="24"/>
    <n v="189242"/>
  </r>
  <r>
    <n v="487"/>
    <n v="1518"/>
    <x v="34"/>
    <x v="1"/>
    <x v="1"/>
    <x v="482"/>
    <n v="14"/>
    <n v="115170"/>
  </r>
  <r>
    <n v="488"/>
    <n v="5175"/>
    <x v="6"/>
    <x v="4"/>
    <x v="0"/>
    <x v="483"/>
    <n v="35"/>
    <n v="285886"/>
  </r>
  <r>
    <n v="489"/>
    <n v="8349"/>
    <x v="22"/>
    <x v="4"/>
    <x v="1"/>
    <x v="484"/>
    <n v="23"/>
    <n v="177664"/>
  </r>
  <r>
    <n v="490"/>
    <n v="2319"/>
    <x v="39"/>
    <x v="2"/>
    <x v="0"/>
    <x v="485"/>
    <n v="15"/>
    <n v="113358"/>
  </r>
  <r>
    <n v="491"/>
    <n v="5357"/>
    <x v="36"/>
    <x v="0"/>
    <x v="1"/>
    <x v="486"/>
    <n v="14"/>
    <n v="115037"/>
  </r>
  <r>
    <n v="492"/>
    <n v="6309"/>
    <x v="11"/>
    <x v="3"/>
    <x v="1"/>
    <x v="487"/>
    <n v="23"/>
    <n v="183906"/>
  </r>
  <r>
    <n v="493"/>
    <n v="3870"/>
    <x v="27"/>
    <x v="4"/>
    <x v="0"/>
    <x v="488"/>
    <n v="22"/>
    <n v="176978"/>
  </r>
  <r>
    <n v="494"/>
    <n v="3740"/>
    <x v="32"/>
    <x v="3"/>
    <x v="0"/>
    <x v="489"/>
    <n v="31"/>
    <n v="257256"/>
  </r>
  <r>
    <n v="495"/>
    <n v="8426"/>
    <x v="16"/>
    <x v="2"/>
    <x v="1"/>
    <x v="490"/>
    <n v="16"/>
    <n v="126088"/>
  </r>
  <r>
    <n v="496"/>
    <n v="9810"/>
    <x v="35"/>
    <x v="4"/>
    <x v="1"/>
    <x v="491"/>
    <n v="15"/>
    <n v="118094"/>
  </r>
  <r>
    <n v="497"/>
    <n v="5396"/>
    <x v="8"/>
    <x v="0"/>
    <x v="0"/>
    <x v="492"/>
    <n v="16"/>
    <n v="131208"/>
  </r>
  <r>
    <n v="498"/>
    <n v="7546"/>
    <x v="0"/>
    <x v="3"/>
    <x v="0"/>
    <x v="493"/>
    <n v="28"/>
    <n v="224502"/>
  </r>
  <r>
    <n v="499"/>
    <n v="7744"/>
    <x v="39"/>
    <x v="0"/>
    <x v="1"/>
    <x v="494"/>
    <n v="15"/>
    <n v="11475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n v="60"/>
    <x v="0"/>
    <s v="Finance"/>
    <x v="0"/>
    <d v="1994-03-24T00:00:00"/>
    <n v="30"/>
    <x v="0"/>
  </r>
  <r>
    <x v="1"/>
    <x v="1"/>
    <n v="28"/>
    <x v="1"/>
    <s v="Sales"/>
    <x v="1"/>
    <d v="1979-12-08T00:00:00"/>
    <n v="13"/>
    <x v="1"/>
  </r>
  <r>
    <x v="2"/>
    <x v="2"/>
    <n v="30"/>
    <x v="2"/>
    <s v="Marketing"/>
    <x v="0"/>
    <d v="1998-09-25T00:00:00"/>
    <n v="11"/>
    <x v="2"/>
  </r>
  <r>
    <x v="3"/>
    <x v="3"/>
    <n v="38"/>
    <x v="2"/>
    <s v="HR"/>
    <x v="1"/>
    <d v="2011-11-23T00:00:00"/>
    <n v="20"/>
    <x v="3"/>
  </r>
  <r>
    <x v="4"/>
    <x v="4"/>
    <n v="61"/>
    <x v="0"/>
    <s v="HR"/>
    <x v="1"/>
    <d v="1976-10-08T00:00:00"/>
    <n v="31"/>
    <x v="4"/>
  </r>
  <r>
    <x v="5"/>
    <x v="5"/>
    <n v="31"/>
    <x v="2"/>
    <s v="Marketing"/>
    <x v="0"/>
    <d v="1982-06-07T00:00:00"/>
    <n v="14"/>
    <x v="5"/>
  </r>
  <r>
    <x v="6"/>
    <x v="6"/>
    <n v="64"/>
    <x v="0"/>
    <s v="Finance"/>
    <x v="0"/>
    <d v="1981-11-12T00:00:00"/>
    <n v="33"/>
    <x v="6"/>
  </r>
  <r>
    <x v="7"/>
    <x v="7"/>
    <n v="33"/>
    <x v="2"/>
    <s v="Finance"/>
    <x v="0"/>
    <d v="1983-09-28T00:00:00"/>
    <n v="13"/>
    <x v="7"/>
  </r>
  <r>
    <x v="8"/>
    <x v="8"/>
    <n v="34"/>
    <x v="2"/>
    <s v="Finance"/>
    <x v="0"/>
    <d v="2021-01-22T00:00:00"/>
    <n v="15"/>
    <x v="8"/>
  </r>
  <r>
    <x v="9"/>
    <x v="9"/>
    <n v="23"/>
    <x v="1"/>
    <s v="Finance"/>
    <x v="0"/>
    <d v="2014-10-03T00:00:00"/>
    <n v="11"/>
    <x v="9"/>
  </r>
  <r>
    <x v="10"/>
    <x v="10"/>
    <n v="51"/>
    <x v="0"/>
    <s v="IT"/>
    <x v="1"/>
    <d v="1974-03-12T00:00:00"/>
    <n v="26"/>
    <x v="10"/>
  </r>
  <r>
    <x v="11"/>
    <x v="11"/>
    <n v="43"/>
    <x v="3"/>
    <s v="IT"/>
    <x v="1"/>
    <d v="1991-06-08T00:00:00"/>
    <n v="17"/>
    <x v="11"/>
  </r>
  <r>
    <x v="12"/>
    <x v="12"/>
    <n v="33"/>
    <x v="2"/>
    <s v="Finance"/>
    <x v="1"/>
    <d v="2015-04-22T00:00:00"/>
    <n v="18"/>
    <x v="12"/>
  </r>
  <r>
    <x v="13"/>
    <x v="13"/>
    <n v="64"/>
    <x v="0"/>
    <s v="Marketing"/>
    <x v="0"/>
    <d v="1984-08-07T00:00:00"/>
    <n v="29"/>
    <x v="13"/>
  </r>
  <r>
    <x v="14"/>
    <x v="14"/>
    <n v="41"/>
    <x v="3"/>
    <s v="Finance"/>
    <x v="1"/>
    <d v="2004-11-17T00:00:00"/>
    <n v="19"/>
    <x v="14"/>
  </r>
  <r>
    <x v="15"/>
    <x v="15"/>
    <n v="30"/>
    <x v="2"/>
    <s v="Marketing"/>
    <x v="1"/>
    <d v="1982-11-04T00:00:00"/>
    <n v="15"/>
    <x v="15"/>
  </r>
  <r>
    <x v="16"/>
    <x v="16"/>
    <n v="60"/>
    <x v="0"/>
    <s v="IT"/>
    <x v="1"/>
    <d v="2001-03-22T00:00:00"/>
    <n v="27"/>
    <x v="16"/>
  </r>
  <r>
    <x v="17"/>
    <x v="17"/>
    <n v="25"/>
    <x v="1"/>
    <s v="Finance"/>
    <x v="0"/>
    <d v="2023-11-23T00:00:00"/>
    <n v="11"/>
    <x v="17"/>
  </r>
  <r>
    <x v="18"/>
    <x v="18"/>
    <n v="30"/>
    <x v="2"/>
    <s v="Marketing"/>
    <x v="0"/>
    <d v="2002-05-02T00:00:00"/>
    <n v="14"/>
    <x v="18"/>
  </r>
  <r>
    <x v="19"/>
    <x v="19"/>
    <n v="45"/>
    <x v="3"/>
    <s v="IT"/>
    <x v="1"/>
    <d v="1992-10-09T00:00:00"/>
    <n v="24"/>
    <x v="19"/>
  </r>
  <r>
    <x v="20"/>
    <x v="20"/>
    <n v="56"/>
    <x v="0"/>
    <s v="Finance"/>
    <x v="1"/>
    <d v="1973-05-13T00:00:00"/>
    <n v="27"/>
    <x v="20"/>
  </r>
  <r>
    <x v="21"/>
    <x v="21"/>
    <n v="32"/>
    <x v="2"/>
    <s v="Finance"/>
    <x v="1"/>
    <d v="2009-10-31T00:00:00"/>
    <n v="16"/>
    <x v="21"/>
  </r>
  <r>
    <x v="22"/>
    <x v="22"/>
    <n v="49"/>
    <x v="3"/>
    <s v="Sales"/>
    <x v="1"/>
    <d v="2013-07-29T00:00:00"/>
    <n v="24"/>
    <x v="22"/>
  </r>
  <r>
    <x v="23"/>
    <x v="23"/>
    <n v="52"/>
    <x v="0"/>
    <s v="HR"/>
    <x v="0"/>
    <d v="2014-06-12T00:00:00"/>
    <n v="25"/>
    <x v="23"/>
  </r>
  <r>
    <x v="24"/>
    <x v="24"/>
    <n v="43"/>
    <x v="3"/>
    <s v="IT"/>
    <x v="1"/>
    <d v="1985-02-13T00:00:00"/>
    <n v="22"/>
    <x v="24"/>
  </r>
  <r>
    <x v="25"/>
    <x v="25"/>
    <n v="56"/>
    <x v="0"/>
    <s v="Sales"/>
    <x v="1"/>
    <d v="2009-03-13T00:00:00"/>
    <n v="24"/>
    <x v="25"/>
  </r>
  <r>
    <x v="26"/>
    <x v="26"/>
    <n v="47"/>
    <x v="3"/>
    <s v="IT"/>
    <x v="1"/>
    <d v="1996-03-20T00:00:00"/>
    <n v="26"/>
    <x v="26"/>
  </r>
  <r>
    <x v="27"/>
    <x v="27"/>
    <n v="37"/>
    <x v="2"/>
    <s v="HR"/>
    <x v="1"/>
    <d v="1972-02-13T00:00:00"/>
    <n v="22"/>
    <x v="27"/>
  </r>
  <r>
    <x v="28"/>
    <x v="28"/>
    <n v="54"/>
    <x v="0"/>
    <s v="IT"/>
    <x v="1"/>
    <d v="2008-03-10T00:00:00"/>
    <n v="26"/>
    <x v="28"/>
  </r>
  <r>
    <x v="29"/>
    <x v="29"/>
    <n v="48"/>
    <x v="3"/>
    <s v="Sales"/>
    <x v="1"/>
    <d v="1980-07-01T00:00:00"/>
    <n v="25"/>
    <x v="29"/>
  </r>
  <r>
    <x v="30"/>
    <x v="30"/>
    <n v="28"/>
    <x v="1"/>
    <s v="IT"/>
    <x v="1"/>
    <d v="2004-09-02T00:00:00"/>
    <n v="13"/>
    <x v="30"/>
  </r>
  <r>
    <x v="31"/>
    <x v="31"/>
    <n v="62"/>
    <x v="0"/>
    <s v="Marketing"/>
    <x v="1"/>
    <d v="1976-01-13T00:00:00"/>
    <n v="31"/>
    <x v="31"/>
  </r>
  <r>
    <x v="32"/>
    <x v="32"/>
    <n v="44"/>
    <x v="3"/>
    <s v="Marketing"/>
    <x v="1"/>
    <d v="1994-07-22T00:00:00"/>
    <n v="22"/>
    <x v="32"/>
  </r>
  <r>
    <x v="33"/>
    <x v="33"/>
    <n v="40"/>
    <x v="3"/>
    <s v="IT"/>
    <x v="1"/>
    <d v="1976-08-09T00:00:00"/>
    <n v="19"/>
    <x v="33"/>
  </r>
  <r>
    <x v="34"/>
    <x v="34"/>
    <n v="34"/>
    <x v="2"/>
    <s v="HR"/>
    <x v="1"/>
    <d v="2019-03-03T00:00:00"/>
    <n v="17"/>
    <x v="34"/>
  </r>
  <r>
    <x v="35"/>
    <x v="35"/>
    <n v="45"/>
    <x v="3"/>
    <s v="Sales"/>
    <x v="1"/>
    <d v="1972-11-15T00:00:00"/>
    <n v="22"/>
    <x v="35"/>
  </r>
  <r>
    <x v="36"/>
    <x v="36"/>
    <n v="45"/>
    <x v="3"/>
    <s v="Finance"/>
    <x v="0"/>
    <d v="1971-09-28T00:00:00"/>
    <n v="22"/>
    <x v="36"/>
  </r>
  <r>
    <x v="37"/>
    <x v="37"/>
    <n v="37"/>
    <x v="2"/>
    <s v="Sales"/>
    <x v="0"/>
    <d v="2024-08-06T00:00:00"/>
    <n v="14"/>
    <x v="37"/>
  </r>
  <r>
    <x v="38"/>
    <x v="38"/>
    <n v="47"/>
    <x v="3"/>
    <s v="Marketing"/>
    <x v="1"/>
    <d v="1988-09-17T00:00:00"/>
    <n v="21"/>
    <x v="38"/>
  </r>
  <r>
    <x v="39"/>
    <x v="39"/>
    <n v="30"/>
    <x v="2"/>
    <s v="Marketing"/>
    <x v="1"/>
    <d v="1977-06-23T00:00:00"/>
    <n v="16"/>
    <x v="39"/>
  </r>
  <r>
    <x v="40"/>
    <x v="40"/>
    <n v="47"/>
    <x v="3"/>
    <s v="Sales"/>
    <x v="0"/>
    <d v="2008-08-10T00:00:00"/>
    <n v="26"/>
    <x v="40"/>
  </r>
  <r>
    <x v="41"/>
    <x v="41"/>
    <n v="22"/>
    <x v="1"/>
    <s v="Sales"/>
    <x v="1"/>
    <d v="1994-09-16T00:00:00"/>
    <n v="12"/>
    <x v="41"/>
  </r>
  <r>
    <x v="42"/>
    <x v="42"/>
    <n v="45"/>
    <x v="3"/>
    <s v="Sales"/>
    <x v="0"/>
    <d v="2021-02-04T00:00:00"/>
    <n v="20"/>
    <x v="42"/>
  </r>
  <r>
    <x v="43"/>
    <x v="43"/>
    <n v="48"/>
    <x v="3"/>
    <s v="Finance"/>
    <x v="1"/>
    <d v="1974-02-20T00:00:00"/>
    <n v="23"/>
    <x v="43"/>
  </r>
  <r>
    <x v="44"/>
    <x v="44"/>
    <n v="51"/>
    <x v="0"/>
    <s v="Sales"/>
    <x v="1"/>
    <d v="2022-04-21T00:00:00"/>
    <n v="27"/>
    <x v="44"/>
  </r>
  <r>
    <x v="45"/>
    <x v="45"/>
    <n v="31"/>
    <x v="2"/>
    <s v="Finance"/>
    <x v="0"/>
    <d v="1982-01-11T00:00:00"/>
    <n v="17"/>
    <x v="45"/>
  </r>
  <r>
    <x v="46"/>
    <x v="46"/>
    <n v="38"/>
    <x v="2"/>
    <s v="Finance"/>
    <x v="0"/>
    <d v="2019-05-11T00:00:00"/>
    <n v="18"/>
    <x v="46"/>
  </r>
  <r>
    <x v="47"/>
    <x v="47"/>
    <n v="40"/>
    <x v="3"/>
    <s v="Sales"/>
    <x v="1"/>
    <d v="2000-01-14T00:00:00"/>
    <n v="21"/>
    <x v="47"/>
  </r>
  <r>
    <x v="48"/>
    <x v="48"/>
    <n v="42"/>
    <x v="3"/>
    <s v="Finance"/>
    <x v="0"/>
    <d v="2006-09-01T00:00:00"/>
    <n v="19"/>
    <x v="48"/>
  </r>
  <r>
    <x v="49"/>
    <x v="49"/>
    <n v="64"/>
    <x v="0"/>
    <s v="Marketing"/>
    <x v="0"/>
    <d v="2012-06-09T00:00:00"/>
    <n v="30"/>
    <x v="49"/>
  </r>
  <r>
    <x v="50"/>
    <x v="50"/>
    <n v="50"/>
    <x v="0"/>
    <s v="Sales"/>
    <x v="1"/>
    <d v="1975-04-15T00:00:00"/>
    <n v="22"/>
    <x v="50"/>
  </r>
  <r>
    <x v="51"/>
    <x v="51"/>
    <n v="44"/>
    <x v="3"/>
    <s v="HR"/>
    <x v="0"/>
    <d v="1994-12-18T00:00:00"/>
    <n v="21"/>
    <x v="51"/>
  </r>
  <r>
    <x v="52"/>
    <x v="52"/>
    <n v="50"/>
    <x v="0"/>
    <s v="IT"/>
    <x v="1"/>
    <d v="1987-10-22T00:00:00"/>
    <n v="27"/>
    <x v="52"/>
  </r>
  <r>
    <x v="53"/>
    <x v="53"/>
    <n v="46"/>
    <x v="3"/>
    <s v="IT"/>
    <x v="1"/>
    <d v="2020-02-08T00:00:00"/>
    <n v="23"/>
    <x v="53"/>
  </r>
  <r>
    <x v="54"/>
    <x v="54"/>
    <n v="51"/>
    <x v="0"/>
    <s v="IT"/>
    <x v="1"/>
    <d v="2013-11-07T00:00:00"/>
    <n v="27"/>
    <x v="54"/>
  </r>
  <r>
    <x v="55"/>
    <x v="55"/>
    <n v="63"/>
    <x v="0"/>
    <s v="IT"/>
    <x v="0"/>
    <d v="2003-03-12T00:00:00"/>
    <n v="31"/>
    <x v="55"/>
  </r>
  <r>
    <x v="56"/>
    <x v="56"/>
    <n v="22"/>
    <x v="1"/>
    <s v="IT"/>
    <x v="1"/>
    <d v="1974-05-21T00:00:00"/>
    <n v="13"/>
    <x v="56"/>
  </r>
  <r>
    <x v="57"/>
    <x v="57"/>
    <n v="48"/>
    <x v="3"/>
    <s v="HR"/>
    <x v="0"/>
    <d v="1990-04-11T00:00:00"/>
    <n v="24"/>
    <x v="57"/>
  </r>
  <r>
    <x v="58"/>
    <x v="58"/>
    <n v="53"/>
    <x v="0"/>
    <s v="Sales"/>
    <x v="0"/>
    <d v="1987-06-20T00:00:00"/>
    <n v="25"/>
    <x v="58"/>
  </r>
  <r>
    <x v="59"/>
    <x v="59"/>
    <n v="59"/>
    <x v="0"/>
    <s v="IT"/>
    <x v="1"/>
    <d v="1976-10-19T00:00:00"/>
    <n v="32"/>
    <x v="59"/>
  </r>
  <r>
    <x v="60"/>
    <x v="60"/>
    <n v="53"/>
    <x v="0"/>
    <s v="Finance"/>
    <x v="1"/>
    <d v="2008-09-18T00:00:00"/>
    <n v="28"/>
    <x v="60"/>
  </r>
  <r>
    <x v="61"/>
    <x v="61"/>
    <n v="60"/>
    <x v="0"/>
    <s v="Finance"/>
    <x v="0"/>
    <d v="2004-08-21T00:00:00"/>
    <n v="28"/>
    <x v="61"/>
  </r>
  <r>
    <x v="62"/>
    <x v="62"/>
    <n v="30"/>
    <x v="2"/>
    <s v="Finance"/>
    <x v="0"/>
    <d v="2008-09-24T00:00:00"/>
    <n v="15"/>
    <x v="62"/>
  </r>
  <r>
    <x v="63"/>
    <x v="63"/>
    <n v="32"/>
    <x v="2"/>
    <s v="Sales"/>
    <x v="0"/>
    <d v="1976-04-01T00:00:00"/>
    <n v="15"/>
    <x v="63"/>
  </r>
  <r>
    <x v="64"/>
    <x v="64"/>
    <n v="34"/>
    <x v="2"/>
    <s v="IT"/>
    <x v="0"/>
    <d v="2005-06-25T00:00:00"/>
    <n v="17"/>
    <x v="64"/>
  </r>
  <r>
    <x v="65"/>
    <x v="65"/>
    <n v="36"/>
    <x v="2"/>
    <s v="Finance"/>
    <x v="0"/>
    <d v="2000-05-25T00:00:00"/>
    <n v="16"/>
    <x v="65"/>
  </r>
  <r>
    <x v="66"/>
    <x v="66"/>
    <n v="44"/>
    <x v="3"/>
    <s v="Sales"/>
    <x v="0"/>
    <d v="1976-05-08T00:00:00"/>
    <n v="19"/>
    <x v="66"/>
  </r>
  <r>
    <x v="67"/>
    <x v="67"/>
    <n v="40"/>
    <x v="3"/>
    <s v="Finance"/>
    <x v="0"/>
    <d v="2002-06-21T00:00:00"/>
    <n v="18"/>
    <x v="67"/>
  </r>
  <r>
    <x v="68"/>
    <x v="68"/>
    <n v="31"/>
    <x v="2"/>
    <s v="Marketing"/>
    <x v="1"/>
    <d v="1997-01-28T00:00:00"/>
    <n v="12"/>
    <x v="68"/>
  </r>
  <r>
    <x v="69"/>
    <x v="69"/>
    <n v="35"/>
    <x v="2"/>
    <s v="Sales"/>
    <x v="0"/>
    <d v="2019-08-04T00:00:00"/>
    <n v="17"/>
    <x v="69"/>
  </r>
  <r>
    <x v="70"/>
    <x v="70"/>
    <n v="32"/>
    <x v="2"/>
    <s v="IT"/>
    <x v="1"/>
    <d v="1974-06-04T00:00:00"/>
    <n v="16"/>
    <x v="70"/>
  </r>
  <r>
    <x v="71"/>
    <x v="71"/>
    <n v="35"/>
    <x v="2"/>
    <s v="HR"/>
    <x v="1"/>
    <d v="1991-05-11T00:00:00"/>
    <n v="19"/>
    <x v="71"/>
  </r>
  <r>
    <x v="72"/>
    <x v="72"/>
    <n v="51"/>
    <x v="0"/>
    <s v="Sales"/>
    <x v="0"/>
    <d v="1992-02-07T00:00:00"/>
    <n v="27"/>
    <x v="72"/>
  </r>
  <r>
    <x v="73"/>
    <x v="73"/>
    <n v="50"/>
    <x v="0"/>
    <s v="HR"/>
    <x v="0"/>
    <d v="1992-09-04T00:00:00"/>
    <n v="23"/>
    <x v="73"/>
  </r>
  <r>
    <x v="74"/>
    <x v="74"/>
    <n v="36"/>
    <x v="2"/>
    <s v="Marketing"/>
    <x v="1"/>
    <d v="1997-03-24T00:00:00"/>
    <n v="20"/>
    <x v="74"/>
  </r>
  <r>
    <x v="75"/>
    <x v="75"/>
    <n v="52"/>
    <x v="0"/>
    <s v="Sales"/>
    <x v="1"/>
    <d v="1983-05-10T00:00:00"/>
    <n v="27"/>
    <x v="75"/>
  </r>
  <r>
    <x v="76"/>
    <x v="76"/>
    <n v="36"/>
    <x v="2"/>
    <s v="IT"/>
    <x v="1"/>
    <d v="2022-12-16T00:00:00"/>
    <n v="20"/>
    <x v="76"/>
  </r>
  <r>
    <x v="77"/>
    <x v="77"/>
    <n v="26"/>
    <x v="1"/>
    <s v="IT"/>
    <x v="0"/>
    <d v="1971-02-23T00:00:00"/>
    <n v="15"/>
    <x v="77"/>
  </r>
  <r>
    <x v="78"/>
    <x v="78"/>
    <n v="45"/>
    <x v="3"/>
    <s v="Sales"/>
    <x v="1"/>
    <d v="1980-02-29T00:00:00"/>
    <n v="23"/>
    <x v="78"/>
  </r>
  <r>
    <x v="79"/>
    <x v="79"/>
    <n v="27"/>
    <x v="1"/>
    <s v="HR"/>
    <x v="0"/>
    <d v="2013-06-16T00:00:00"/>
    <n v="12"/>
    <x v="79"/>
  </r>
  <r>
    <x v="80"/>
    <x v="80"/>
    <n v="48"/>
    <x v="3"/>
    <s v="HR"/>
    <x v="0"/>
    <d v="1974-11-01T00:00:00"/>
    <n v="23"/>
    <x v="80"/>
  </r>
  <r>
    <x v="81"/>
    <x v="81"/>
    <n v="45"/>
    <x v="3"/>
    <s v="HR"/>
    <x v="1"/>
    <d v="2012-11-24T00:00:00"/>
    <n v="21"/>
    <x v="81"/>
  </r>
  <r>
    <x v="82"/>
    <x v="82"/>
    <n v="64"/>
    <x v="0"/>
    <s v="Marketing"/>
    <x v="0"/>
    <d v="2015-08-11T00:00:00"/>
    <n v="34"/>
    <x v="82"/>
  </r>
  <r>
    <x v="83"/>
    <x v="83"/>
    <n v="53"/>
    <x v="0"/>
    <s v="Marketing"/>
    <x v="1"/>
    <d v="1976-07-21T00:00:00"/>
    <n v="29"/>
    <x v="83"/>
  </r>
  <r>
    <x v="84"/>
    <x v="84"/>
    <n v="49"/>
    <x v="3"/>
    <s v="Finance"/>
    <x v="0"/>
    <d v="2008-09-26T00:00:00"/>
    <n v="23"/>
    <x v="84"/>
  </r>
  <r>
    <x v="85"/>
    <x v="85"/>
    <n v="60"/>
    <x v="0"/>
    <s v="Sales"/>
    <x v="0"/>
    <d v="1996-04-10T00:00:00"/>
    <n v="31"/>
    <x v="85"/>
  </r>
  <r>
    <x v="86"/>
    <x v="86"/>
    <n v="51"/>
    <x v="0"/>
    <s v="Finance"/>
    <x v="1"/>
    <d v="1997-04-13T00:00:00"/>
    <n v="24"/>
    <x v="86"/>
  </r>
  <r>
    <x v="87"/>
    <x v="87"/>
    <n v="22"/>
    <x v="1"/>
    <s v="Sales"/>
    <x v="1"/>
    <d v="2004-05-21T00:00:00"/>
    <n v="14"/>
    <x v="87"/>
  </r>
  <r>
    <x v="88"/>
    <x v="88"/>
    <n v="43"/>
    <x v="3"/>
    <s v="IT"/>
    <x v="1"/>
    <d v="2020-11-15T00:00:00"/>
    <n v="19"/>
    <x v="88"/>
  </r>
  <r>
    <x v="89"/>
    <x v="89"/>
    <n v="31"/>
    <x v="2"/>
    <s v="HR"/>
    <x v="1"/>
    <d v="1989-07-21T00:00:00"/>
    <n v="15"/>
    <x v="89"/>
  </r>
  <r>
    <x v="90"/>
    <x v="90"/>
    <n v="26"/>
    <x v="1"/>
    <s v="Sales"/>
    <x v="1"/>
    <d v="2025-10-01T00:00:00"/>
    <n v="12"/>
    <x v="90"/>
  </r>
  <r>
    <x v="91"/>
    <x v="91"/>
    <n v="27"/>
    <x v="1"/>
    <s v="Sales"/>
    <x v="0"/>
    <d v="1981-12-31T00:00:00"/>
    <n v="13"/>
    <x v="91"/>
  </r>
  <r>
    <x v="92"/>
    <x v="92"/>
    <n v="52"/>
    <x v="0"/>
    <s v="IT"/>
    <x v="0"/>
    <d v="2006-04-28T00:00:00"/>
    <n v="29"/>
    <x v="92"/>
  </r>
  <r>
    <x v="93"/>
    <x v="93"/>
    <n v="31"/>
    <x v="2"/>
    <s v="Marketing"/>
    <x v="1"/>
    <d v="2013-12-21T00:00:00"/>
    <n v="14"/>
    <x v="93"/>
  </r>
  <r>
    <x v="94"/>
    <x v="94"/>
    <n v="52"/>
    <x v="0"/>
    <s v="HR"/>
    <x v="0"/>
    <d v="2009-02-12T00:00:00"/>
    <n v="27"/>
    <x v="94"/>
  </r>
  <r>
    <x v="95"/>
    <x v="95"/>
    <n v="61"/>
    <x v="0"/>
    <s v="Finance"/>
    <x v="1"/>
    <d v="2004-01-02T00:00:00"/>
    <n v="30"/>
    <x v="95"/>
  </r>
  <r>
    <x v="96"/>
    <x v="96"/>
    <n v="52"/>
    <x v="0"/>
    <s v="Finance"/>
    <x v="0"/>
    <d v="2018-08-10T00:00:00"/>
    <n v="24"/>
    <x v="96"/>
  </r>
  <r>
    <x v="97"/>
    <x v="97"/>
    <n v="59"/>
    <x v="0"/>
    <s v="Finance"/>
    <x v="0"/>
    <d v="2017-08-07T00:00:00"/>
    <n v="28"/>
    <x v="97"/>
  </r>
  <r>
    <x v="98"/>
    <x v="98"/>
    <n v="40"/>
    <x v="3"/>
    <s v="IT"/>
    <x v="0"/>
    <d v="2023-09-18T00:00:00"/>
    <n v="18"/>
    <x v="98"/>
  </r>
  <r>
    <x v="99"/>
    <x v="99"/>
    <n v="46"/>
    <x v="3"/>
    <s v="IT"/>
    <x v="1"/>
    <d v="2005-07-08T00:00:00"/>
    <n v="19"/>
    <x v="99"/>
  </r>
  <r>
    <x v="100"/>
    <x v="100"/>
    <n v="35"/>
    <x v="2"/>
    <s v="Sales"/>
    <x v="1"/>
    <d v="2025-01-13T00:00:00"/>
    <n v="17"/>
    <x v="100"/>
  </r>
  <r>
    <x v="101"/>
    <x v="101"/>
    <n v="40"/>
    <x v="3"/>
    <s v="HR"/>
    <x v="0"/>
    <d v="1985-08-29T00:00:00"/>
    <n v="15"/>
    <x v="101"/>
  </r>
  <r>
    <x v="102"/>
    <x v="102"/>
    <n v="40"/>
    <x v="3"/>
    <s v="HR"/>
    <x v="1"/>
    <d v="1984-06-06T00:00:00"/>
    <n v="24"/>
    <x v="102"/>
  </r>
  <r>
    <x v="103"/>
    <x v="103"/>
    <n v="48"/>
    <x v="3"/>
    <s v="IT"/>
    <x v="0"/>
    <d v="2013-07-13T00:00:00"/>
    <n v="25"/>
    <x v="103"/>
  </r>
  <r>
    <x v="104"/>
    <x v="104"/>
    <n v="54"/>
    <x v="0"/>
    <s v="Marketing"/>
    <x v="1"/>
    <d v="1991-04-21T00:00:00"/>
    <n v="25"/>
    <x v="104"/>
  </r>
  <r>
    <x v="105"/>
    <x v="105"/>
    <n v="58"/>
    <x v="0"/>
    <s v="HR"/>
    <x v="1"/>
    <d v="1975-09-24T00:00:00"/>
    <n v="30"/>
    <x v="105"/>
  </r>
  <r>
    <x v="106"/>
    <x v="106"/>
    <n v="25"/>
    <x v="1"/>
    <s v="IT"/>
    <x v="1"/>
    <d v="1987-05-06T00:00:00"/>
    <n v="12"/>
    <x v="106"/>
  </r>
  <r>
    <x v="107"/>
    <x v="107"/>
    <n v="53"/>
    <x v="0"/>
    <s v="HR"/>
    <x v="1"/>
    <d v="1997-06-27T00:00:00"/>
    <n v="30"/>
    <x v="107"/>
  </r>
  <r>
    <x v="108"/>
    <x v="108"/>
    <n v="50"/>
    <x v="0"/>
    <s v="Sales"/>
    <x v="0"/>
    <d v="2022-08-10T00:00:00"/>
    <n v="24"/>
    <x v="108"/>
  </r>
  <r>
    <x v="109"/>
    <x v="109"/>
    <n v="63"/>
    <x v="0"/>
    <s v="HR"/>
    <x v="0"/>
    <d v="1996-11-20T00:00:00"/>
    <n v="30"/>
    <x v="109"/>
  </r>
  <r>
    <x v="110"/>
    <x v="110"/>
    <n v="54"/>
    <x v="0"/>
    <s v="Finance"/>
    <x v="0"/>
    <d v="1978-08-21T00:00:00"/>
    <n v="22"/>
    <x v="110"/>
  </r>
  <r>
    <x v="111"/>
    <x v="111"/>
    <n v="58"/>
    <x v="0"/>
    <s v="IT"/>
    <x v="1"/>
    <d v="1985-05-02T00:00:00"/>
    <n v="30"/>
    <x v="111"/>
  </r>
  <r>
    <x v="112"/>
    <x v="112"/>
    <n v="37"/>
    <x v="2"/>
    <s v="Sales"/>
    <x v="0"/>
    <d v="1984-10-06T00:00:00"/>
    <n v="20"/>
    <x v="112"/>
  </r>
  <r>
    <x v="113"/>
    <x v="113"/>
    <n v="43"/>
    <x v="3"/>
    <s v="IT"/>
    <x v="1"/>
    <d v="2007-08-10T00:00:00"/>
    <n v="23"/>
    <x v="113"/>
  </r>
  <r>
    <x v="114"/>
    <x v="114"/>
    <n v="24"/>
    <x v="1"/>
    <s v="Marketing"/>
    <x v="0"/>
    <d v="2016-08-06T00:00:00"/>
    <n v="12"/>
    <x v="114"/>
  </r>
  <r>
    <x v="115"/>
    <x v="115"/>
    <n v="46"/>
    <x v="3"/>
    <s v="Marketing"/>
    <x v="0"/>
    <d v="2002-08-20T00:00:00"/>
    <n v="25"/>
    <x v="115"/>
  </r>
  <r>
    <x v="116"/>
    <x v="116"/>
    <n v="60"/>
    <x v="0"/>
    <s v="Finance"/>
    <x v="0"/>
    <d v="2010-01-12T00:00:00"/>
    <n v="29"/>
    <x v="116"/>
  </r>
  <r>
    <x v="117"/>
    <x v="117"/>
    <n v="61"/>
    <x v="0"/>
    <s v="IT"/>
    <x v="0"/>
    <d v="2012-02-05T00:00:00"/>
    <n v="26"/>
    <x v="117"/>
  </r>
  <r>
    <x v="118"/>
    <x v="118"/>
    <n v="61"/>
    <x v="0"/>
    <s v="IT"/>
    <x v="0"/>
    <d v="1978-10-23T00:00:00"/>
    <n v="35"/>
    <x v="118"/>
  </r>
  <r>
    <x v="119"/>
    <x v="119"/>
    <n v="29"/>
    <x v="1"/>
    <s v="Finance"/>
    <x v="1"/>
    <d v="2006-10-24T00:00:00"/>
    <n v="16"/>
    <x v="119"/>
  </r>
  <r>
    <x v="120"/>
    <x v="120"/>
    <n v="54"/>
    <x v="0"/>
    <s v="HR"/>
    <x v="0"/>
    <d v="1985-04-10T00:00:00"/>
    <n v="28"/>
    <x v="120"/>
  </r>
  <r>
    <x v="121"/>
    <x v="121"/>
    <n v="32"/>
    <x v="2"/>
    <s v="IT"/>
    <x v="0"/>
    <d v="2006-05-14T00:00:00"/>
    <n v="16"/>
    <x v="121"/>
  </r>
  <r>
    <x v="122"/>
    <x v="122"/>
    <n v="28"/>
    <x v="1"/>
    <s v="Sales"/>
    <x v="1"/>
    <d v="2006-05-04T00:00:00"/>
    <n v="12"/>
    <x v="122"/>
  </r>
  <r>
    <x v="123"/>
    <x v="123"/>
    <n v="45"/>
    <x v="3"/>
    <s v="IT"/>
    <x v="1"/>
    <d v="2017-12-26T00:00:00"/>
    <n v="23"/>
    <x v="123"/>
  </r>
  <r>
    <x v="124"/>
    <x v="124"/>
    <n v="58"/>
    <x v="0"/>
    <s v="Sales"/>
    <x v="0"/>
    <d v="2020-05-06T00:00:00"/>
    <n v="26"/>
    <x v="124"/>
  </r>
  <r>
    <x v="125"/>
    <x v="125"/>
    <n v="48"/>
    <x v="3"/>
    <s v="Marketing"/>
    <x v="1"/>
    <d v="1979-04-07T00:00:00"/>
    <n v="25"/>
    <x v="125"/>
  </r>
  <r>
    <x v="126"/>
    <x v="126"/>
    <n v="40"/>
    <x v="3"/>
    <s v="HR"/>
    <x v="0"/>
    <d v="1981-11-12T00:00:00"/>
    <n v="21"/>
    <x v="126"/>
  </r>
  <r>
    <x v="127"/>
    <x v="127"/>
    <n v="55"/>
    <x v="0"/>
    <s v="Finance"/>
    <x v="1"/>
    <d v="2018-03-05T00:00:00"/>
    <n v="26"/>
    <x v="127"/>
  </r>
  <r>
    <x v="128"/>
    <x v="128"/>
    <n v="56"/>
    <x v="0"/>
    <s v="HR"/>
    <x v="0"/>
    <d v="1984-08-29T00:00:00"/>
    <n v="25"/>
    <x v="128"/>
  </r>
  <r>
    <x v="129"/>
    <x v="129"/>
    <n v="32"/>
    <x v="2"/>
    <s v="Sales"/>
    <x v="1"/>
    <d v="2018-04-20T00:00:00"/>
    <n v="17"/>
    <x v="129"/>
  </r>
  <r>
    <x v="130"/>
    <x v="130"/>
    <n v="63"/>
    <x v="0"/>
    <s v="IT"/>
    <x v="1"/>
    <d v="2016-09-17T00:00:00"/>
    <n v="29"/>
    <x v="130"/>
  </r>
  <r>
    <x v="131"/>
    <x v="131"/>
    <n v="49"/>
    <x v="3"/>
    <s v="Finance"/>
    <x v="1"/>
    <d v="2003-05-02T00:00:00"/>
    <n v="24"/>
    <x v="131"/>
  </r>
  <r>
    <x v="132"/>
    <x v="132"/>
    <n v="40"/>
    <x v="3"/>
    <s v="Marketing"/>
    <x v="0"/>
    <d v="2010-06-04T00:00:00"/>
    <n v="23"/>
    <x v="132"/>
  </r>
  <r>
    <x v="133"/>
    <x v="133"/>
    <n v="41"/>
    <x v="3"/>
    <s v="Finance"/>
    <x v="0"/>
    <d v="2017-04-09T00:00:00"/>
    <n v="20"/>
    <x v="133"/>
  </r>
  <r>
    <x v="134"/>
    <x v="134"/>
    <n v="22"/>
    <x v="1"/>
    <s v="Finance"/>
    <x v="0"/>
    <d v="1989-05-10T00:00:00"/>
    <n v="12"/>
    <x v="134"/>
  </r>
  <r>
    <x v="135"/>
    <x v="135"/>
    <n v="49"/>
    <x v="3"/>
    <s v="Marketing"/>
    <x v="1"/>
    <d v="2014-08-07T00:00:00"/>
    <n v="25"/>
    <x v="135"/>
  </r>
  <r>
    <x v="136"/>
    <x v="136"/>
    <n v="44"/>
    <x v="3"/>
    <s v="Finance"/>
    <x v="1"/>
    <d v="1983-03-26T00:00:00"/>
    <n v="25"/>
    <x v="136"/>
  </r>
  <r>
    <x v="137"/>
    <x v="137"/>
    <n v="43"/>
    <x v="3"/>
    <s v="HR"/>
    <x v="1"/>
    <d v="1983-08-25T00:00:00"/>
    <n v="24"/>
    <x v="137"/>
  </r>
  <r>
    <x v="138"/>
    <x v="138"/>
    <n v="45"/>
    <x v="3"/>
    <s v="Finance"/>
    <x v="0"/>
    <d v="2014-04-17T00:00:00"/>
    <n v="21"/>
    <x v="138"/>
  </r>
  <r>
    <x v="139"/>
    <x v="139"/>
    <n v="49"/>
    <x v="3"/>
    <s v="HR"/>
    <x v="1"/>
    <d v="1990-11-04T00:00:00"/>
    <n v="22"/>
    <x v="139"/>
  </r>
  <r>
    <x v="140"/>
    <x v="140"/>
    <n v="54"/>
    <x v="0"/>
    <s v="IT"/>
    <x v="1"/>
    <d v="2008-02-23T00:00:00"/>
    <n v="25"/>
    <x v="140"/>
  </r>
  <r>
    <x v="141"/>
    <x v="141"/>
    <n v="43"/>
    <x v="3"/>
    <s v="Sales"/>
    <x v="1"/>
    <d v="1975-10-27T00:00:00"/>
    <n v="21"/>
    <x v="141"/>
  </r>
  <r>
    <x v="142"/>
    <x v="142"/>
    <n v="34"/>
    <x v="2"/>
    <s v="IT"/>
    <x v="0"/>
    <d v="2003-03-06T00:00:00"/>
    <n v="17"/>
    <x v="142"/>
  </r>
  <r>
    <x v="143"/>
    <x v="143"/>
    <n v="29"/>
    <x v="1"/>
    <s v="Marketing"/>
    <x v="1"/>
    <d v="1976-01-13T00:00:00"/>
    <n v="14"/>
    <x v="143"/>
  </r>
  <r>
    <x v="144"/>
    <x v="144"/>
    <n v="57"/>
    <x v="0"/>
    <s v="Sales"/>
    <x v="1"/>
    <d v="2006-05-02T00:00:00"/>
    <n v="25"/>
    <x v="144"/>
  </r>
  <r>
    <x v="145"/>
    <x v="145"/>
    <n v="55"/>
    <x v="0"/>
    <s v="Sales"/>
    <x v="1"/>
    <d v="1998-03-29T00:00:00"/>
    <n v="27"/>
    <x v="145"/>
  </r>
  <r>
    <x v="146"/>
    <x v="146"/>
    <n v="43"/>
    <x v="3"/>
    <s v="Finance"/>
    <x v="1"/>
    <d v="2001-07-06T00:00:00"/>
    <n v="21"/>
    <x v="146"/>
  </r>
  <r>
    <x v="147"/>
    <x v="147"/>
    <n v="57"/>
    <x v="0"/>
    <s v="Marketing"/>
    <x v="0"/>
    <d v="1991-09-13T00:00:00"/>
    <n v="30"/>
    <x v="147"/>
  </r>
  <r>
    <x v="148"/>
    <x v="148"/>
    <n v="24"/>
    <x v="1"/>
    <s v="IT"/>
    <x v="0"/>
    <d v="2017-12-13T00:00:00"/>
    <n v="9"/>
    <x v="148"/>
  </r>
  <r>
    <x v="149"/>
    <x v="149"/>
    <n v="25"/>
    <x v="1"/>
    <s v="Sales"/>
    <x v="1"/>
    <d v="1984-09-11T00:00:00"/>
    <n v="13"/>
    <x v="149"/>
  </r>
  <r>
    <x v="150"/>
    <x v="150"/>
    <n v="57"/>
    <x v="0"/>
    <s v="Marketing"/>
    <x v="0"/>
    <d v="2000-03-18T00:00:00"/>
    <n v="30"/>
    <x v="150"/>
  </r>
  <r>
    <x v="151"/>
    <x v="151"/>
    <n v="33"/>
    <x v="2"/>
    <s v="Marketing"/>
    <x v="0"/>
    <d v="1978-08-17T00:00:00"/>
    <n v="15"/>
    <x v="151"/>
  </r>
  <r>
    <x v="152"/>
    <x v="152"/>
    <n v="59"/>
    <x v="0"/>
    <s v="HR"/>
    <x v="1"/>
    <d v="1971-05-16T00:00:00"/>
    <n v="29"/>
    <x v="152"/>
  </r>
  <r>
    <x v="153"/>
    <x v="153"/>
    <n v="33"/>
    <x v="2"/>
    <s v="IT"/>
    <x v="0"/>
    <d v="2017-07-07T00:00:00"/>
    <n v="16"/>
    <x v="153"/>
  </r>
  <r>
    <x v="154"/>
    <x v="154"/>
    <n v="35"/>
    <x v="2"/>
    <s v="Sales"/>
    <x v="1"/>
    <d v="2005-01-29T00:00:00"/>
    <n v="17"/>
    <x v="154"/>
  </r>
  <r>
    <x v="155"/>
    <x v="155"/>
    <n v="48"/>
    <x v="3"/>
    <s v="HR"/>
    <x v="1"/>
    <d v="1984-04-19T00:00:00"/>
    <n v="26"/>
    <x v="155"/>
  </r>
  <r>
    <x v="156"/>
    <x v="156"/>
    <n v="31"/>
    <x v="2"/>
    <s v="Marketing"/>
    <x v="0"/>
    <d v="1997-03-28T00:00:00"/>
    <n v="13"/>
    <x v="156"/>
  </r>
  <r>
    <x v="157"/>
    <x v="157"/>
    <n v="51"/>
    <x v="0"/>
    <s v="Sales"/>
    <x v="1"/>
    <d v="1977-09-24T00:00:00"/>
    <n v="27"/>
    <x v="157"/>
  </r>
  <r>
    <x v="158"/>
    <x v="158"/>
    <n v="58"/>
    <x v="0"/>
    <s v="Finance"/>
    <x v="1"/>
    <d v="2016-06-02T00:00:00"/>
    <n v="27"/>
    <x v="158"/>
  </r>
  <r>
    <x v="159"/>
    <x v="159"/>
    <n v="57"/>
    <x v="0"/>
    <s v="Finance"/>
    <x v="0"/>
    <d v="2002-09-03T00:00:00"/>
    <n v="30"/>
    <x v="159"/>
  </r>
  <r>
    <x v="160"/>
    <x v="160"/>
    <n v="45"/>
    <x v="3"/>
    <s v="HR"/>
    <x v="1"/>
    <d v="1975-08-10T00:00:00"/>
    <n v="21"/>
    <x v="160"/>
  </r>
  <r>
    <x v="161"/>
    <x v="161"/>
    <n v="35"/>
    <x v="2"/>
    <s v="HR"/>
    <x v="1"/>
    <d v="1973-08-21T00:00:00"/>
    <n v="14"/>
    <x v="161"/>
  </r>
  <r>
    <x v="162"/>
    <x v="162"/>
    <n v="50"/>
    <x v="0"/>
    <s v="IT"/>
    <x v="1"/>
    <d v="1992-03-05T00:00:00"/>
    <n v="23"/>
    <x v="162"/>
  </r>
  <r>
    <x v="163"/>
    <x v="163"/>
    <n v="48"/>
    <x v="3"/>
    <s v="IT"/>
    <x v="1"/>
    <d v="2009-12-18T00:00:00"/>
    <n v="22"/>
    <x v="163"/>
  </r>
  <r>
    <x v="164"/>
    <x v="164"/>
    <n v="32"/>
    <x v="2"/>
    <s v="IT"/>
    <x v="0"/>
    <d v="1982-02-01T00:00:00"/>
    <n v="15"/>
    <x v="164"/>
  </r>
  <r>
    <x v="165"/>
    <x v="165"/>
    <n v="49"/>
    <x v="3"/>
    <s v="Finance"/>
    <x v="0"/>
    <d v="1977-11-25T00:00:00"/>
    <n v="20"/>
    <x v="165"/>
  </r>
  <r>
    <x v="166"/>
    <x v="166"/>
    <n v="52"/>
    <x v="0"/>
    <s v="IT"/>
    <x v="0"/>
    <d v="2006-09-27T00:00:00"/>
    <n v="25"/>
    <x v="166"/>
  </r>
  <r>
    <x v="167"/>
    <x v="167"/>
    <n v="35"/>
    <x v="2"/>
    <s v="HR"/>
    <x v="0"/>
    <d v="1972-05-21T00:00:00"/>
    <n v="17"/>
    <x v="167"/>
  </r>
  <r>
    <x v="168"/>
    <x v="168"/>
    <n v="51"/>
    <x v="0"/>
    <s v="Marketing"/>
    <x v="0"/>
    <d v="2008-09-27T00:00:00"/>
    <n v="25"/>
    <x v="168"/>
  </r>
  <r>
    <x v="169"/>
    <x v="169"/>
    <n v="44"/>
    <x v="3"/>
    <s v="HR"/>
    <x v="1"/>
    <d v="1998-08-05T00:00:00"/>
    <n v="19"/>
    <x v="169"/>
  </r>
  <r>
    <x v="170"/>
    <x v="170"/>
    <n v="52"/>
    <x v="0"/>
    <s v="Marketing"/>
    <x v="1"/>
    <d v="1983-07-26T00:00:00"/>
    <n v="25"/>
    <x v="170"/>
  </r>
  <r>
    <x v="171"/>
    <x v="171"/>
    <n v="29"/>
    <x v="1"/>
    <s v="Finance"/>
    <x v="1"/>
    <d v="1982-12-19T00:00:00"/>
    <n v="16"/>
    <x v="171"/>
  </r>
  <r>
    <x v="172"/>
    <x v="172"/>
    <n v="38"/>
    <x v="2"/>
    <s v="HR"/>
    <x v="0"/>
    <d v="1997-05-31T00:00:00"/>
    <n v="18"/>
    <x v="172"/>
  </r>
  <r>
    <x v="173"/>
    <x v="173"/>
    <n v="30"/>
    <x v="2"/>
    <s v="IT"/>
    <x v="1"/>
    <d v="1989-04-04T00:00:00"/>
    <n v="17"/>
    <x v="173"/>
  </r>
  <r>
    <x v="174"/>
    <x v="174"/>
    <n v="59"/>
    <x v="0"/>
    <s v="HR"/>
    <x v="0"/>
    <d v="1995-09-29T00:00:00"/>
    <n v="31"/>
    <x v="174"/>
  </r>
  <r>
    <x v="175"/>
    <x v="175"/>
    <n v="40"/>
    <x v="3"/>
    <s v="Sales"/>
    <x v="1"/>
    <d v="2020-06-12T00:00:00"/>
    <n v="20"/>
    <x v="175"/>
  </r>
  <r>
    <x v="176"/>
    <x v="176"/>
    <n v="38"/>
    <x v="2"/>
    <s v="Marketing"/>
    <x v="1"/>
    <d v="1991-01-17T00:00:00"/>
    <n v="20"/>
    <x v="176"/>
  </r>
  <r>
    <x v="177"/>
    <x v="177"/>
    <n v="36"/>
    <x v="2"/>
    <s v="Marketing"/>
    <x v="0"/>
    <d v="2004-03-13T00:00:00"/>
    <n v="18"/>
    <x v="177"/>
  </r>
  <r>
    <x v="178"/>
    <x v="178"/>
    <n v="52"/>
    <x v="0"/>
    <s v="Finance"/>
    <x v="0"/>
    <d v="1981-06-04T00:00:00"/>
    <n v="25"/>
    <x v="178"/>
  </r>
  <r>
    <x v="179"/>
    <x v="179"/>
    <n v="62"/>
    <x v="0"/>
    <s v="IT"/>
    <x v="1"/>
    <d v="2005-01-28T00:00:00"/>
    <n v="29"/>
    <x v="179"/>
  </r>
  <r>
    <x v="180"/>
    <x v="180"/>
    <n v="62"/>
    <x v="0"/>
    <s v="Marketing"/>
    <x v="1"/>
    <d v="2018-09-20T00:00:00"/>
    <n v="32"/>
    <x v="180"/>
  </r>
  <r>
    <x v="181"/>
    <x v="181"/>
    <n v="42"/>
    <x v="3"/>
    <s v="HR"/>
    <x v="0"/>
    <d v="2002-07-21T00:00:00"/>
    <n v="22"/>
    <x v="181"/>
  </r>
  <r>
    <x v="182"/>
    <x v="182"/>
    <n v="48"/>
    <x v="3"/>
    <s v="IT"/>
    <x v="0"/>
    <d v="1988-06-25T00:00:00"/>
    <n v="24"/>
    <x v="182"/>
  </r>
  <r>
    <x v="183"/>
    <x v="183"/>
    <n v="28"/>
    <x v="1"/>
    <s v="Marketing"/>
    <x v="1"/>
    <d v="2016-11-10T00:00:00"/>
    <n v="14"/>
    <x v="183"/>
  </r>
  <r>
    <x v="184"/>
    <x v="184"/>
    <n v="53"/>
    <x v="0"/>
    <s v="IT"/>
    <x v="0"/>
    <d v="1973-02-05T00:00:00"/>
    <n v="26"/>
    <x v="184"/>
  </r>
  <r>
    <x v="185"/>
    <x v="185"/>
    <n v="42"/>
    <x v="3"/>
    <s v="Marketing"/>
    <x v="1"/>
    <d v="1993-12-13T00:00:00"/>
    <n v="21"/>
    <x v="185"/>
  </r>
  <r>
    <x v="186"/>
    <x v="186"/>
    <n v="22"/>
    <x v="1"/>
    <s v="Sales"/>
    <x v="1"/>
    <d v="1995-04-25T00:00:00"/>
    <n v="8"/>
    <x v="186"/>
  </r>
  <r>
    <x v="187"/>
    <x v="187"/>
    <n v="46"/>
    <x v="3"/>
    <s v="HR"/>
    <x v="1"/>
    <d v="2007-03-28T00:00:00"/>
    <n v="25"/>
    <x v="187"/>
  </r>
  <r>
    <x v="188"/>
    <x v="188"/>
    <n v="30"/>
    <x v="2"/>
    <s v="Marketing"/>
    <x v="0"/>
    <d v="1974-08-31T00:00:00"/>
    <n v="16"/>
    <x v="188"/>
  </r>
  <r>
    <x v="189"/>
    <x v="189"/>
    <n v="30"/>
    <x v="2"/>
    <s v="HR"/>
    <x v="1"/>
    <d v="1981-05-27T00:00:00"/>
    <n v="18"/>
    <x v="189"/>
  </r>
  <r>
    <x v="190"/>
    <x v="190"/>
    <n v="30"/>
    <x v="2"/>
    <s v="Finance"/>
    <x v="0"/>
    <d v="2012-06-21T00:00:00"/>
    <n v="14"/>
    <x v="190"/>
  </r>
  <r>
    <x v="191"/>
    <x v="191"/>
    <n v="56"/>
    <x v="0"/>
    <s v="HR"/>
    <x v="1"/>
    <d v="1992-05-02T00:00:00"/>
    <n v="24"/>
    <x v="191"/>
  </r>
  <r>
    <x v="192"/>
    <x v="192"/>
    <n v="30"/>
    <x v="2"/>
    <s v="IT"/>
    <x v="1"/>
    <d v="1971-09-03T00:00:00"/>
    <n v="14"/>
    <x v="192"/>
  </r>
  <r>
    <x v="193"/>
    <x v="193"/>
    <n v="41"/>
    <x v="3"/>
    <s v="Marketing"/>
    <x v="1"/>
    <d v="2005-09-11T00:00:00"/>
    <n v="22"/>
    <x v="193"/>
  </r>
  <r>
    <x v="194"/>
    <x v="194"/>
    <n v="58"/>
    <x v="0"/>
    <s v="IT"/>
    <x v="1"/>
    <d v="1992-01-06T00:00:00"/>
    <n v="31"/>
    <x v="194"/>
  </r>
  <r>
    <x v="195"/>
    <x v="195"/>
    <n v="47"/>
    <x v="3"/>
    <s v="HR"/>
    <x v="0"/>
    <d v="1981-12-03T00:00:00"/>
    <n v="22"/>
    <x v="195"/>
  </r>
  <r>
    <x v="196"/>
    <x v="196"/>
    <n v="32"/>
    <x v="2"/>
    <s v="Marketing"/>
    <x v="1"/>
    <d v="2013-05-27T00:00:00"/>
    <n v="15"/>
    <x v="196"/>
  </r>
  <r>
    <x v="197"/>
    <x v="157"/>
    <n v="60"/>
    <x v="0"/>
    <s v="Marketing"/>
    <x v="1"/>
    <d v="2022-04-26T00:00:00"/>
    <n v="32"/>
    <x v="197"/>
  </r>
  <r>
    <x v="198"/>
    <x v="197"/>
    <n v="42"/>
    <x v="3"/>
    <s v="Finance"/>
    <x v="0"/>
    <d v="1981-02-21T00:00:00"/>
    <n v="19"/>
    <x v="198"/>
  </r>
  <r>
    <x v="199"/>
    <x v="198"/>
    <n v="25"/>
    <x v="1"/>
    <s v="HR"/>
    <x v="1"/>
    <d v="2023-09-28T00:00:00"/>
    <n v="14"/>
    <x v="199"/>
  </r>
  <r>
    <x v="200"/>
    <x v="199"/>
    <n v="63"/>
    <x v="0"/>
    <s v="IT"/>
    <x v="1"/>
    <d v="1989-12-19T00:00:00"/>
    <n v="32"/>
    <x v="200"/>
  </r>
  <r>
    <x v="201"/>
    <x v="200"/>
    <n v="22"/>
    <x v="1"/>
    <s v="IT"/>
    <x v="0"/>
    <d v="1983-08-02T00:00:00"/>
    <n v="12"/>
    <x v="201"/>
  </r>
  <r>
    <x v="202"/>
    <x v="201"/>
    <n v="64"/>
    <x v="0"/>
    <s v="HR"/>
    <x v="1"/>
    <d v="2013-12-24T00:00:00"/>
    <n v="34"/>
    <x v="202"/>
  </r>
  <r>
    <x v="203"/>
    <x v="202"/>
    <n v="46"/>
    <x v="3"/>
    <s v="HR"/>
    <x v="1"/>
    <d v="1973-07-08T00:00:00"/>
    <n v="25"/>
    <x v="203"/>
  </r>
  <r>
    <x v="204"/>
    <x v="203"/>
    <n v="34"/>
    <x v="2"/>
    <s v="Marketing"/>
    <x v="0"/>
    <d v="2014-11-10T00:00:00"/>
    <n v="18"/>
    <x v="204"/>
  </r>
  <r>
    <x v="205"/>
    <x v="204"/>
    <n v="61"/>
    <x v="0"/>
    <s v="Sales"/>
    <x v="1"/>
    <d v="2005-06-10T00:00:00"/>
    <n v="24"/>
    <x v="205"/>
  </r>
  <r>
    <x v="206"/>
    <x v="205"/>
    <n v="38"/>
    <x v="2"/>
    <s v="Marketing"/>
    <x v="1"/>
    <d v="1991-10-14T00:00:00"/>
    <n v="21"/>
    <x v="206"/>
  </r>
  <r>
    <x v="207"/>
    <x v="206"/>
    <n v="33"/>
    <x v="2"/>
    <s v="Finance"/>
    <x v="0"/>
    <d v="1976-11-21T00:00:00"/>
    <n v="15"/>
    <x v="207"/>
  </r>
  <r>
    <x v="208"/>
    <x v="207"/>
    <n v="51"/>
    <x v="0"/>
    <s v="HR"/>
    <x v="1"/>
    <d v="1977-02-09T00:00:00"/>
    <n v="25"/>
    <x v="208"/>
  </r>
  <r>
    <x v="209"/>
    <x v="208"/>
    <n v="46"/>
    <x v="3"/>
    <s v="Finance"/>
    <x v="0"/>
    <d v="2009-02-13T00:00:00"/>
    <n v="25"/>
    <x v="209"/>
  </r>
  <r>
    <x v="210"/>
    <x v="209"/>
    <n v="44"/>
    <x v="3"/>
    <s v="Marketing"/>
    <x v="1"/>
    <d v="2023-06-16T00:00:00"/>
    <n v="20"/>
    <x v="210"/>
  </r>
  <r>
    <x v="211"/>
    <x v="210"/>
    <n v="28"/>
    <x v="1"/>
    <s v="Finance"/>
    <x v="1"/>
    <d v="2018-04-28T00:00:00"/>
    <n v="18"/>
    <x v="211"/>
  </r>
  <r>
    <x v="212"/>
    <x v="211"/>
    <n v="23"/>
    <x v="1"/>
    <s v="Sales"/>
    <x v="0"/>
    <d v="2024-03-16T00:00:00"/>
    <n v="14"/>
    <x v="212"/>
  </r>
  <r>
    <x v="213"/>
    <x v="212"/>
    <n v="48"/>
    <x v="3"/>
    <s v="Sales"/>
    <x v="0"/>
    <d v="1999-03-24T00:00:00"/>
    <n v="25"/>
    <x v="213"/>
  </r>
  <r>
    <x v="214"/>
    <x v="213"/>
    <n v="28"/>
    <x v="1"/>
    <s v="Sales"/>
    <x v="0"/>
    <d v="2023-05-23T00:00:00"/>
    <n v="13"/>
    <x v="214"/>
  </r>
  <r>
    <x v="215"/>
    <x v="214"/>
    <n v="34"/>
    <x v="2"/>
    <s v="Finance"/>
    <x v="1"/>
    <d v="1980-11-24T00:00:00"/>
    <n v="16"/>
    <x v="215"/>
  </r>
  <r>
    <x v="216"/>
    <x v="215"/>
    <n v="62"/>
    <x v="0"/>
    <s v="IT"/>
    <x v="1"/>
    <d v="2004-12-01T00:00:00"/>
    <n v="28"/>
    <x v="216"/>
  </r>
  <r>
    <x v="217"/>
    <x v="216"/>
    <n v="57"/>
    <x v="0"/>
    <s v="Finance"/>
    <x v="1"/>
    <d v="2014-05-09T00:00:00"/>
    <n v="26"/>
    <x v="217"/>
  </r>
  <r>
    <x v="218"/>
    <x v="217"/>
    <n v="56"/>
    <x v="0"/>
    <s v="Finance"/>
    <x v="1"/>
    <d v="1999-01-17T00:00:00"/>
    <n v="26"/>
    <x v="218"/>
  </r>
  <r>
    <x v="219"/>
    <x v="218"/>
    <n v="43"/>
    <x v="3"/>
    <s v="IT"/>
    <x v="1"/>
    <d v="1978-07-18T00:00:00"/>
    <n v="21"/>
    <x v="219"/>
  </r>
  <r>
    <x v="220"/>
    <x v="219"/>
    <n v="40"/>
    <x v="3"/>
    <s v="Finance"/>
    <x v="1"/>
    <d v="2022-02-17T00:00:00"/>
    <n v="16"/>
    <x v="220"/>
  </r>
  <r>
    <x v="221"/>
    <x v="220"/>
    <n v="57"/>
    <x v="0"/>
    <s v="Finance"/>
    <x v="0"/>
    <d v="2003-04-16T00:00:00"/>
    <n v="25"/>
    <x v="221"/>
  </r>
  <r>
    <x v="222"/>
    <x v="221"/>
    <n v="39"/>
    <x v="2"/>
    <s v="HR"/>
    <x v="0"/>
    <d v="2021-10-06T00:00:00"/>
    <n v="19"/>
    <x v="222"/>
  </r>
  <r>
    <x v="223"/>
    <x v="222"/>
    <n v="41"/>
    <x v="3"/>
    <s v="Sales"/>
    <x v="1"/>
    <d v="1976-07-29T00:00:00"/>
    <n v="22"/>
    <x v="223"/>
  </r>
  <r>
    <x v="224"/>
    <x v="223"/>
    <n v="59"/>
    <x v="0"/>
    <s v="IT"/>
    <x v="0"/>
    <d v="1979-12-07T00:00:00"/>
    <n v="30"/>
    <x v="224"/>
  </r>
  <r>
    <x v="225"/>
    <x v="224"/>
    <n v="26"/>
    <x v="1"/>
    <s v="HR"/>
    <x v="0"/>
    <d v="2006-07-02T00:00:00"/>
    <n v="17"/>
    <x v="225"/>
  </r>
  <r>
    <x v="226"/>
    <x v="225"/>
    <n v="34"/>
    <x v="2"/>
    <s v="Sales"/>
    <x v="1"/>
    <d v="1978-04-04T00:00:00"/>
    <n v="17"/>
    <x v="226"/>
  </r>
  <r>
    <x v="227"/>
    <x v="226"/>
    <n v="26"/>
    <x v="1"/>
    <s v="Sales"/>
    <x v="0"/>
    <d v="2020-07-17T00:00:00"/>
    <n v="11"/>
    <x v="227"/>
  </r>
  <r>
    <x v="228"/>
    <x v="227"/>
    <n v="44"/>
    <x v="3"/>
    <s v="Marketing"/>
    <x v="0"/>
    <d v="2024-06-09T00:00:00"/>
    <n v="23"/>
    <x v="228"/>
  </r>
  <r>
    <x v="229"/>
    <x v="228"/>
    <n v="43"/>
    <x v="3"/>
    <s v="Sales"/>
    <x v="1"/>
    <d v="1996-08-01T00:00:00"/>
    <n v="20"/>
    <x v="229"/>
  </r>
  <r>
    <x v="230"/>
    <x v="229"/>
    <n v="42"/>
    <x v="3"/>
    <s v="Marketing"/>
    <x v="0"/>
    <d v="2007-09-22T00:00:00"/>
    <n v="20"/>
    <x v="230"/>
  </r>
  <r>
    <x v="231"/>
    <x v="230"/>
    <n v="36"/>
    <x v="2"/>
    <s v="Marketing"/>
    <x v="0"/>
    <d v="1988-02-24T00:00:00"/>
    <n v="14"/>
    <x v="231"/>
  </r>
  <r>
    <x v="232"/>
    <x v="231"/>
    <n v="25"/>
    <x v="1"/>
    <s v="Sales"/>
    <x v="0"/>
    <d v="1997-02-12T00:00:00"/>
    <n v="10"/>
    <x v="232"/>
  </r>
  <r>
    <x v="233"/>
    <x v="232"/>
    <n v="36"/>
    <x v="2"/>
    <s v="Sales"/>
    <x v="1"/>
    <d v="1972-06-01T00:00:00"/>
    <n v="18"/>
    <x v="233"/>
  </r>
  <r>
    <x v="234"/>
    <x v="233"/>
    <n v="61"/>
    <x v="0"/>
    <s v="Sales"/>
    <x v="0"/>
    <d v="1980-11-08T00:00:00"/>
    <n v="30"/>
    <x v="234"/>
  </r>
  <r>
    <x v="235"/>
    <x v="234"/>
    <n v="57"/>
    <x v="0"/>
    <s v="Sales"/>
    <x v="0"/>
    <d v="2012-05-05T00:00:00"/>
    <n v="27"/>
    <x v="235"/>
  </r>
  <r>
    <x v="236"/>
    <x v="235"/>
    <n v="51"/>
    <x v="0"/>
    <s v="Finance"/>
    <x v="1"/>
    <d v="2010-06-18T00:00:00"/>
    <n v="27"/>
    <x v="236"/>
  </r>
  <r>
    <x v="237"/>
    <x v="236"/>
    <n v="35"/>
    <x v="2"/>
    <s v="Marketing"/>
    <x v="0"/>
    <d v="1972-07-15T00:00:00"/>
    <n v="18"/>
    <x v="237"/>
  </r>
  <r>
    <x v="238"/>
    <x v="237"/>
    <n v="36"/>
    <x v="2"/>
    <s v="Sales"/>
    <x v="0"/>
    <d v="1970-02-07T00:00:00"/>
    <n v="15"/>
    <x v="238"/>
  </r>
  <r>
    <x v="239"/>
    <x v="238"/>
    <n v="64"/>
    <x v="0"/>
    <s v="Sales"/>
    <x v="1"/>
    <d v="1981-04-22T00:00:00"/>
    <n v="30"/>
    <x v="239"/>
  </r>
  <r>
    <x v="240"/>
    <x v="239"/>
    <n v="48"/>
    <x v="3"/>
    <s v="Sales"/>
    <x v="0"/>
    <d v="1974-12-27T00:00:00"/>
    <n v="21"/>
    <x v="240"/>
  </r>
  <r>
    <x v="241"/>
    <x v="240"/>
    <n v="46"/>
    <x v="3"/>
    <s v="Marketing"/>
    <x v="0"/>
    <d v="1979-02-17T00:00:00"/>
    <n v="22"/>
    <x v="241"/>
  </r>
  <r>
    <x v="242"/>
    <x v="241"/>
    <n v="38"/>
    <x v="2"/>
    <s v="HR"/>
    <x v="1"/>
    <d v="2006-06-26T00:00:00"/>
    <n v="19"/>
    <x v="242"/>
  </r>
  <r>
    <x v="243"/>
    <x v="242"/>
    <n v="47"/>
    <x v="3"/>
    <s v="Sales"/>
    <x v="1"/>
    <d v="2001-06-10T00:00:00"/>
    <n v="22"/>
    <x v="243"/>
  </r>
  <r>
    <x v="244"/>
    <x v="243"/>
    <n v="39"/>
    <x v="2"/>
    <s v="Marketing"/>
    <x v="1"/>
    <d v="2025-09-29T00:00:00"/>
    <n v="22"/>
    <x v="244"/>
  </r>
  <r>
    <x v="245"/>
    <x v="244"/>
    <n v="42"/>
    <x v="3"/>
    <s v="IT"/>
    <x v="0"/>
    <d v="1991-06-26T00:00:00"/>
    <n v="18"/>
    <x v="245"/>
  </r>
  <r>
    <x v="246"/>
    <x v="245"/>
    <n v="58"/>
    <x v="0"/>
    <s v="HR"/>
    <x v="0"/>
    <d v="1985-05-01T00:00:00"/>
    <n v="29"/>
    <x v="246"/>
  </r>
  <r>
    <x v="247"/>
    <x v="246"/>
    <n v="46"/>
    <x v="3"/>
    <s v="Marketing"/>
    <x v="0"/>
    <d v="2005-01-08T00:00:00"/>
    <n v="20"/>
    <x v="247"/>
  </r>
  <r>
    <x v="248"/>
    <x v="247"/>
    <n v="31"/>
    <x v="2"/>
    <s v="IT"/>
    <x v="0"/>
    <d v="1994-01-27T00:00:00"/>
    <n v="13"/>
    <x v="248"/>
  </r>
  <r>
    <x v="249"/>
    <x v="248"/>
    <n v="22"/>
    <x v="1"/>
    <s v="IT"/>
    <x v="1"/>
    <d v="1983-02-17T00:00:00"/>
    <n v="13"/>
    <x v="249"/>
  </r>
  <r>
    <x v="250"/>
    <x v="249"/>
    <n v="51"/>
    <x v="0"/>
    <s v="IT"/>
    <x v="0"/>
    <d v="2023-03-01T00:00:00"/>
    <n v="24"/>
    <x v="250"/>
  </r>
  <r>
    <x v="251"/>
    <x v="250"/>
    <n v="62"/>
    <x v="0"/>
    <s v="IT"/>
    <x v="1"/>
    <d v="2005-11-01T00:00:00"/>
    <n v="31"/>
    <x v="251"/>
  </r>
  <r>
    <x v="252"/>
    <x v="251"/>
    <n v="52"/>
    <x v="0"/>
    <s v="IT"/>
    <x v="1"/>
    <d v="2008-09-14T00:00:00"/>
    <n v="23"/>
    <x v="252"/>
  </r>
  <r>
    <x v="253"/>
    <x v="184"/>
    <n v="27"/>
    <x v="1"/>
    <s v="HR"/>
    <x v="0"/>
    <d v="1996-07-19T00:00:00"/>
    <n v="11"/>
    <x v="253"/>
  </r>
  <r>
    <x v="254"/>
    <x v="252"/>
    <n v="54"/>
    <x v="0"/>
    <s v="Marketing"/>
    <x v="1"/>
    <d v="2002-09-15T00:00:00"/>
    <n v="30"/>
    <x v="254"/>
  </r>
  <r>
    <x v="255"/>
    <x v="120"/>
    <n v="62"/>
    <x v="0"/>
    <s v="Finance"/>
    <x v="0"/>
    <d v="2009-11-13T00:00:00"/>
    <n v="35"/>
    <x v="255"/>
  </r>
  <r>
    <x v="256"/>
    <x v="253"/>
    <n v="61"/>
    <x v="0"/>
    <s v="IT"/>
    <x v="0"/>
    <d v="1975-09-06T00:00:00"/>
    <n v="31"/>
    <x v="256"/>
  </r>
  <r>
    <x v="257"/>
    <x v="254"/>
    <n v="48"/>
    <x v="3"/>
    <s v="Sales"/>
    <x v="1"/>
    <d v="2009-03-11T00:00:00"/>
    <n v="26"/>
    <x v="257"/>
  </r>
  <r>
    <x v="258"/>
    <x v="255"/>
    <n v="26"/>
    <x v="1"/>
    <s v="IT"/>
    <x v="0"/>
    <d v="2010-09-17T00:00:00"/>
    <n v="11"/>
    <x v="258"/>
  </r>
  <r>
    <x v="259"/>
    <x v="256"/>
    <n v="41"/>
    <x v="3"/>
    <s v="Finance"/>
    <x v="0"/>
    <d v="1991-03-26T00:00:00"/>
    <n v="17"/>
    <x v="259"/>
  </r>
  <r>
    <x v="260"/>
    <x v="257"/>
    <n v="61"/>
    <x v="0"/>
    <s v="IT"/>
    <x v="0"/>
    <d v="1989-02-27T00:00:00"/>
    <n v="30"/>
    <x v="260"/>
  </r>
  <r>
    <x v="261"/>
    <x v="258"/>
    <n v="59"/>
    <x v="0"/>
    <s v="Marketing"/>
    <x v="0"/>
    <d v="1979-01-14T00:00:00"/>
    <n v="27"/>
    <x v="261"/>
  </r>
  <r>
    <x v="262"/>
    <x v="259"/>
    <n v="49"/>
    <x v="3"/>
    <s v="Sales"/>
    <x v="0"/>
    <d v="1991-03-09T00:00:00"/>
    <n v="23"/>
    <x v="262"/>
  </r>
  <r>
    <x v="263"/>
    <x v="260"/>
    <n v="41"/>
    <x v="3"/>
    <s v="Marketing"/>
    <x v="1"/>
    <d v="1970-07-27T00:00:00"/>
    <n v="18"/>
    <x v="263"/>
  </r>
  <r>
    <x v="264"/>
    <x v="261"/>
    <n v="42"/>
    <x v="3"/>
    <s v="Sales"/>
    <x v="1"/>
    <d v="2023-11-19T00:00:00"/>
    <n v="23"/>
    <x v="264"/>
  </r>
  <r>
    <x v="265"/>
    <x v="262"/>
    <n v="40"/>
    <x v="3"/>
    <s v="IT"/>
    <x v="1"/>
    <d v="1984-08-02T00:00:00"/>
    <n v="22"/>
    <x v="265"/>
  </r>
  <r>
    <x v="266"/>
    <x v="263"/>
    <n v="29"/>
    <x v="1"/>
    <s v="HR"/>
    <x v="1"/>
    <d v="2015-07-19T00:00:00"/>
    <n v="10"/>
    <x v="266"/>
  </r>
  <r>
    <x v="267"/>
    <x v="264"/>
    <n v="33"/>
    <x v="2"/>
    <s v="HR"/>
    <x v="1"/>
    <d v="1993-12-06T00:00:00"/>
    <n v="15"/>
    <x v="267"/>
  </r>
  <r>
    <x v="268"/>
    <x v="265"/>
    <n v="56"/>
    <x v="0"/>
    <s v="Marketing"/>
    <x v="0"/>
    <d v="1970-09-21T00:00:00"/>
    <n v="28"/>
    <x v="268"/>
  </r>
  <r>
    <x v="269"/>
    <x v="266"/>
    <n v="56"/>
    <x v="0"/>
    <s v="IT"/>
    <x v="0"/>
    <d v="1992-05-08T00:00:00"/>
    <n v="24"/>
    <x v="269"/>
  </r>
  <r>
    <x v="270"/>
    <x v="267"/>
    <n v="36"/>
    <x v="2"/>
    <s v="Finance"/>
    <x v="1"/>
    <d v="2010-05-19T00:00:00"/>
    <n v="16"/>
    <x v="270"/>
  </r>
  <r>
    <x v="271"/>
    <x v="268"/>
    <n v="23"/>
    <x v="1"/>
    <s v="IT"/>
    <x v="1"/>
    <d v="1972-02-07T00:00:00"/>
    <n v="9"/>
    <x v="271"/>
  </r>
  <r>
    <x v="272"/>
    <x v="269"/>
    <n v="64"/>
    <x v="0"/>
    <s v="Marketing"/>
    <x v="0"/>
    <d v="2005-04-27T00:00:00"/>
    <n v="29"/>
    <x v="272"/>
  </r>
  <r>
    <x v="273"/>
    <x v="270"/>
    <n v="50"/>
    <x v="0"/>
    <s v="IT"/>
    <x v="1"/>
    <d v="1983-07-07T00:00:00"/>
    <n v="21"/>
    <x v="273"/>
  </r>
  <r>
    <x v="274"/>
    <x v="271"/>
    <n v="50"/>
    <x v="0"/>
    <s v="Marketing"/>
    <x v="1"/>
    <d v="1973-12-20T00:00:00"/>
    <n v="24"/>
    <x v="274"/>
  </r>
  <r>
    <x v="275"/>
    <x v="272"/>
    <n v="25"/>
    <x v="1"/>
    <s v="Finance"/>
    <x v="0"/>
    <d v="2018-07-04T00:00:00"/>
    <n v="16"/>
    <x v="275"/>
  </r>
  <r>
    <x v="276"/>
    <x v="273"/>
    <n v="51"/>
    <x v="0"/>
    <s v="IT"/>
    <x v="0"/>
    <d v="1993-04-21T00:00:00"/>
    <n v="27"/>
    <x v="276"/>
  </r>
  <r>
    <x v="277"/>
    <x v="274"/>
    <n v="33"/>
    <x v="2"/>
    <s v="HR"/>
    <x v="0"/>
    <d v="1987-11-27T00:00:00"/>
    <n v="14"/>
    <x v="277"/>
  </r>
  <r>
    <x v="278"/>
    <x v="275"/>
    <n v="39"/>
    <x v="2"/>
    <s v="IT"/>
    <x v="0"/>
    <d v="1989-03-11T00:00:00"/>
    <n v="20"/>
    <x v="278"/>
  </r>
  <r>
    <x v="279"/>
    <x v="276"/>
    <n v="52"/>
    <x v="0"/>
    <s v="IT"/>
    <x v="0"/>
    <d v="2001-08-12T00:00:00"/>
    <n v="25"/>
    <x v="279"/>
  </r>
  <r>
    <x v="280"/>
    <x v="277"/>
    <n v="24"/>
    <x v="1"/>
    <s v="IT"/>
    <x v="0"/>
    <d v="2007-12-09T00:00:00"/>
    <n v="10"/>
    <x v="280"/>
  </r>
  <r>
    <x v="281"/>
    <x v="278"/>
    <n v="54"/>
    <x v="0"/>
    <s v="Finance"/>
    <x v="0"/>
    <d v="2019-10-28T00:00:00"/>
    <n v="28"/>
    <x v="281"/>
  </r>
  <r>
    <x v="282"/>
    <x v="279"/>
    <n v="47"/>
    <x v="3"/>
    <s v="Sales"/>
    <x v="1"/>
    <d v="1999-02-15T00:00:00"/>
    <n v="26"/>
    <x v="282"/>
  </r>
  <r>
    <x v="283"/>
    <x v="280"/>
    <n v="43"/>
    <x v="3"/>
    <s v="Finance"/>
    <x v="1"/>
    <d v="2022-07-25T00:00:00"/>
    <n v="21"/>
    <x v="283"/>
  </r>
  <r>
    <x v="284"/>
    <x v="281"/>
    <n v="49"/>
    <x v="3"/>
    <s v="Sales"/>
    <x v="1"/>
    <d v="2004-06-23T00:00:00"/>
    <n v="27"/>
    <x v="284"/>
  </r>
  <r>
    <x v="285"/>
    <x v="282"/>
    <n v="61"/>
    <x v="0"/>
    <s v="Marketing"/>
    <x v="1"/>
    <d v="2022-02-23T00:00:00"/>
    <n v="28"/>
    <x v="285"/>
  </r>
  <r>
    <x v="286"/>
    <x v="283"/>
    <n v="23"/>
    <x v="1"/>
    <s v="Finance"/>
    <x v="0"/>
    <d v="1997-03-28T00:00:00"/>
    <n v="10"/>
    <x v="286"/>
  </r>
  <r>
    <x v="287"/>
    <x v="284"/>
    <n v="34"/>
    <x v="2"/>
    <s v="HR"/>
    <x v="0"/>
    <d v="1970-02-26T00:00:00"/>
    <n v="14"/>
    <x v="287"/>
  </r>
  <r>
    <x v="288"/>
    <x v="285"/>
    <n v="28"/>
    <x v="1"/>
    <s v="Finance"/>
    <x v="1"/>
    <d v="1998-12-31T00:00:00"/>
    <n v="14"/>
    <x v="288"/>
  </r>
  <r>
    <x v="289"/>
    <x v="286"/>
    <n v="62"/>
    <x v="0"/>
    <s v="Marketing"/>
    <x v="1"/>
    <d v="2007-03-22T00:00:00"/>
    <n v="34"/>
    <x v="289"/>
  </r>
  <r>
    <x v="290"/>
    <x v="287"/>
    <n v="60"/>
    <x v="0"/>
    <s v="Marketing"/>
    <x v="0"/>
    <d v="1990-05-22T00:00:00"/>
    <n v="28"/>
    <x v="290"/>
  </r>
  <r>
    <x v="291"/>
    <x v="288"/>
    <n v="27"/>
    <x v="1"/>
    <s v="Sales"/>
    <x v="1"/>
    <d v="2009-10-13T00:00:00"/>
    <n v="11"/>
    <x v="291"/>
  </r>
  <r>
    <x v="292"/>
    <x v="289"/>
    <n v="55"/>
    <x v="0"/>
    <s v="HR"/>
    <x v="1"/>
    <d v="1999-06-25T00:00:00"/>
    <n v="28"/>
    <x v="292"/>
  </r>
  <r>
    <x v="293"/>
    <x v="290"/>
    <n v="38"/>
    <x v="2"/>
    <s v="Finance"/>
    <x v="0"/>
    <d v="2014-05-01T00:00:00"/>
    <n v="19"/>
    <x v="293"/>
  </r>
  <r>
    <x v="294"/>
    <x v="291"/>
    <n v="41"/>
    <x v="3"/>
    <s v="Marketing"/>
    <x v="1"/>
    <d v="2023-07-29T00:00:00"/>
    <n v="20"/>
    <x v="294"/>
  </r>
  <r>
    <x v="295"/>
    <x v="292"/>
    <n v="59"/>
    <x v="0"/>
    <s v="Finance"/>
    <x v="0"/>
    <d v="1979-07-28T00:00:00"/>
    <n v="28"/>
    <x v="295"/>
  </r>
  <r>
    <x v="296"/>
    <x v="293"/>
    <n v="32"/>
    <x v="2"/>
    <s v="HR"/>
    <x v="0"/>
    <d v="1981-04-22T00:00:00"/>
    <n v="14"/>
    <x v="296"/>
  </r>
  <r>
    <x v="297"/>
    <x v="294"/>
    <n v="50"/>
    <x v="0"/>
    <s v="IT"/>
    <x v="1"/>
    <d v="1970-05-02T00:00:00"/>
    <n v="25"/>
    <x v="297"/>
  </r>
  <r>
    <x v="298"/>
    <x v="295"/>
    <n v="34"/>
    <x v="2"/>
    <s v="Sales"/>
    <x v="1"/>
    <d v="2016-01-11T00:00:00"/>
    <n v="17"/>
    <x v="298"/>
  </r>
  <r>
    <x v="299"/>
    <x v="296"/>
    <n v="58"/>
    <x v="0"/>
    <s v="Sales"/>
    <x v="1"/>
    <d v="1998-06-29T00:00:00"/>
    <n v="29"/>
    <x v="299"/>
  </r>
  <r>
    <x v="300"/>
    <x v="297"/>
    <n v="23"/>
    <x v="1"/>
    <s v="Finance"/>
    <x v="0"/>
    <d v="1980-10-08T00:00:00"/>
    <n v="13"/>
    <x v="300"/>
  </r>
  <r>
    <x v="301"/>
    <x v="298"/>
    <n v="25"/>
    <x v="1"/>
    <s v="Sales"/>
    <x v="0"/>
    <d v="2009-10-11T00:00:00"/>
    <n v="12"/>
    <x v="301"/>
  </r>
  <r>
    <x v="302"/>
    <x v="299"/>
    <n v="44"/>
    <x v="3"/>
    <s v="Sales"/>
    <x v="1"/>
    <d v="2013-10-23T00:00:00"/>
    <n v="22"/>
    <x v="302"/>
  </r>
  <r>
    <x v="303"/>
    <x v="300"/>
    <n v="37"/>
    <x v="2"/>
    <s v="IT"/>
    <x v="1"/>
    <d v="1980-11-27T00:00:00"/>
    <n v="17"/>
    <x v="303"/>
  </r>
  <r>
    <x v="304"/>
    <x v="301"/>
    <n v="46"/>
    <x v="3"/>
    <s v="Finance"/>
    <x v="1"/>
    <d v="2006-10-14T00:00:00"/>
    <n v="22"/>
    <x v="304"/>
  </r>
  <r>
    <x v="305"/>
    <x v="302"/>
    <n v="39"/>
    <x v="2"/>
    <s v="Sales"/>
    <x v="0"/>
    <d v="1994-05-29T00:00:00"/>
    <n v="17"/>
    <x v="305"/>
  </r>
  <r>
    <x v="306"/>
    <x v="303"/>
    <n v="58"/>
    <x v="0"/>
    <s v="IT"/>
    <x v="1"/>
    <d v="1970-03-31T00:00:00"/>
    <n v="26"/>
    <x v="306"/>
  </r>
  <r>
    <x v="307"/>
    <x v="304"/>
    <n v="47"/>
    <x v="3"/>
    <s v="Marketing"/>
    <x v="1"/>
    <d v="1974-11-11T00:00:00"/>
    <n v="26"/>
    <x v="307"/>
  </r>
  <r>
    <x v="308"/>
    <x v="305"/>
    <n v="49"/>
    <x v="3"/>
    <s v="HR"/>
    <x v="1"/>
    <d v="2008-11-14T00:00:00"/>
    <n v="23"/>
    <x v="308"/>
  </r>
  <r>
    <x v="309"/>
    <x v="306"/>
    <n v="49"/>
    <x v="3"/>
    <s v="Marketing"/>
    <x v="0"/>
    <d v="2022-11-17T00:00:00"/>
    <n v="27"/>
    <x v="309"/>
  </r>
  <r>
    <x v="310"/>
    <x v="307"/>
    <n v="23"/>
    <x v="1"/>
    <s v="IT"/>
    <x v="0"/>
    <d v="2012-06-04T00:00:00"/>
    <n v="13"/>
    <x v="310"/>
  </r>
  <r>
    <x v="311"/>
    <x v="308"/>
    <n v="61"/>
    <x v="0"/>
    <s v="Sales"/>
    <x v="0"/>
    <d v="2005-03-24T00:00:00"/>
    <n v="28"/>
    <x v="311"/>
  </r>
  <r>
    <x v="312"/>
    <x v="309"/>
    <n v="60"/>
    <x v="0"/>
    <s v="HR"/>
    <x v="1"/>
    <d v="2018-02-12T00:00:00"/>
    <n v="28"/>
    <x v="312"/>
  </r>
  <r>
    <x v="313"/>
    <x v="310"/>
    <n v="47"/>
    <x v="3"/>
    <s v="HR"/>
    <x v="0"/>
    <d v="1973-02-12T00:00:00"/>
    <n v="21"/>
    <x v="313"/>
  </r>
  <r>
    <x v="314"/>
    <x v="311"/>
    <n v="64"/>
    <x v="0"/>
    <s v="Finance"/>
    <x v="0"/>
    <d v="1998-07-31T00:00:00"/>
    <n v="29"/>
    <x v="314"/>
  </r>
  <r>
    <x v="315"/>
    <x v="243"/>
    <n v="48"/>
    <x v="3"/>
    <s v="Finance"/>
    <x v="0"/>
    <d v="1984-05-31T00:00:00"/>
    <n v="26"/>
    <x v="315"/>
  </r>
  <r>
    <x v="316"/>
    <x v="312"/>
    <n v="54"/>
    <x v="0"/>
    <s v="IT"/>
    <x v="1"/>
    <d v="2018-10-24T00:00:00"/>
    <n v="31"/>
    <x v="316"/>
  </r>
  <r>
    <x v="317"/>
    <x v="313"/>
    <n v="37"/>
    <x v="2"/>
    <s v="Marketing"/>
    <x v="1"/>
    <d v="2010-03-16T00:00:00"/>
    <n v="18"/>
    <x v="317"/>
  </r>
  <r>
    <x v="318"/>
    <x v="314"/>
    <n v="37"/>
    <x v="2"/>
    <s v="Sales"/>
    <x v="1"/>
    <d v="1974-06-04T00:00:00"/>
    <n v="16"/>
    <x v="318"/>
  </r>
  <r>
    <x v="319"/>
    <x v="315"/>
    <n v="61"/>
    <x v="0"/>
    <s v="HR"/>
    <x v="1"/>
    <d v="2007-04-22T00:00:00"/>
    <n v="32"/>
    <x v="319"/>
  </r>
  <r>
    <x v="320"/>
    <x v="316"/>
    <n v="61"/>
    <x v="0"/>
    <s v="IT"/>
    <x v="0"/>
    <d v="1983-10-22T00:00:00"/>
    <n v="31"/>
    <x v="320"/>
  </r>
  <r>
    <x v="321"/>
    <x v="317"/>
    <n v="46"/>
    <x v="3"/>
    <s v="HR"/>
    <x v="1"/>
    <d v="1994-04-26T00:00:00"/>
    <n v="23"/>
    <x v="321"/>
  </r>
  <r>
    <x v="322"/>
    <x v="318"/>
    <n v="32"/>
    <x v="2"/>
    <s v="Marketing"/>
    <x v="0"/>
    <d v="2008-10-22T00:00:00"/>
    <n v="16"/>
    <x v="322"/>
  </r>
  <r>
    <x v="323"/>
    <x v="319"/>
    <n v="34"/>
    <x v="2"/>
    <s v="Finance"/>
    <x v="1"/>
    <d v="2018-02-04T00:00:00"/>
    <n v="15"/>
    <x v="323"/>
  </r>
  <r>
    <x v="324"/>
    <x v="320"/>
    <n v="25"/>
    <x v="1"/>
    <s v="Finance"/>
    <x v="0"/>
    <d v="2019-07-26T00:00:00"/>
    <n v="9"/>
    <x v="324"/>
  </r>
  <r>
    <x v="325"/>
    <x v="321"/>
    <n v="42"/>
    <x v="3"/>
    <s v="Marketing"/>
    <x v="0"/>
    <d v="1980-11-01T00:00:00"/>
    <n v="22"/>
    <x v="325"/>
  </r>
  <r>
    <x v="326"/>
    <x v="322"/>
    <n v="52"/>
    <x v="0"/>
    <s v="Marketing"/>
    <x v="1"/>
    <d v="2011-08-19T00:00:00"/>
    <n v="27"/>
    <x v="326"/>
  </r>
  <r>
    <x v="327"/>
    <x v="257"/>
    <n v="42"/>
    <x v="3"/>
    <s v="Sales"/>
    <x v="0"/>
    <d v="1981-09-10T00:00:00"/>
    <n v="20"/>
    <x v="327"/>
  </r>
  <r>
    <x v="328"/>
    <x v="323"/>
    <n v="27"/>
    <x v="1"/>
    <s v="HR"/>
    <x v="0"/>
    <d v="1992-07-12T00:00:00"/>
    <n v="13"/>
    <x v="328"/>
  </r>
  <r>
    <x v="329"/>
    <x v="324"/>
    <n v="37"/>
    <x v="2"/>
    <s v="HR"/>
    <x v="1"/>
    <d v="1990-04-07T00:00:00"/>
    <n v="19"/>
    <x v="329"/>
  </r>
  <r>
    <x v="330"/>
    <x v="325"/>
    <n v="43"/>
    <x v="3"/>
    <s v="Marketing"/>
    <x v="0"/>
    <d v="2002-08-23T00:00:00"/>
    <n v="20"/>
    <x v="330"/>
  </r>
  <r>
    <x v="331"/>
    <x v="326"/>
    <n v="39"/>
    <x v="2"/>
    <s v="Sales"/>
    <x v="1"/>
    <d v="2016-12-26T00:00:00"/>
    <n v="18"/>
    <x v="331"/>
  </r>
  <r>
    <x v="332"/>
    <x v="327"/>
    <n v="39"/>
    <x v="2"/>
    <s v="Finance"/>
    <x v="0"/>
    <d v="1997-05-30T00:00:00"/>
    <n v="15"/>
    <x v="332"/>
  </r>
  <r>
    <x v="333"/>
    <x v="328"/>
    <n v="54"/>
    <x v="0"/>
    <s v="Finance"/>
    <x v="1"/>
    <d v="2008-07-02T00:00:00"/>
    <n v="28"/>
    <x v="333"/>
  </r>
  <r>
    <x v="334"/>
    <x v="117"/>
    <n v="31"/>
    <x v="2"/>
    <s v="HR"/>
    <x v="1"/>
    <d v="2009-05-28T00:00:00"/>
    <n v="14"/>
    <x v="334"/>
  </r>
  <r>
    <x v="335"/>
    <x v="329"/>
    <n v="46"/>
    <x v="3"/>
    <s v="Marketing"/>
    <x v="0"/>
    <d v="2004-04-05T00:00:00"/>
    <n v="24"/>
    <x v="335"/>
  </r>
  <r>
    <x v="336"/>
    <x v="330"/>
    <n v="64"/>
    <x v="0"/>
    <s v="Marketing"/>
    <x v="1"/>
    <d v="1997-11-23T00:00:00"/>
    <n v="33"/>
    <x v="336"/>
  </r>
  <r>
    <x v="337"/>
    <x v="331"/>
    <n v="62"/>
    <x v="0"/>
    <s v="Marketing"/>
    <x v="0"/>
    <d v="2001-01-08T00:00:00"/>
    <n v="32"/>
    <x v="337"/>
  </r>
  <r>
    <x v="338"/>
    <x v="332"/>
    <n v="28"/>
    <x v="1"/>
    <s v="Finance"/>
    <x v="1"/>
    <d v="1985-03-23T00:00:00"/>
    <n v="15"/>
    <x v="338"/>
  </r>
  <r>
    <x v="339"/>
    <x v="333"/>
    <n v="26"/>
    <x v="1"/>
    <s v="Marketing"/>
    <x v="1"/>
    <d v="1989-02-01T00:00:00"/>
    <n v="13"/>
    <x v="339"/>
  </r>
  <r>
    <x v="340"/>
    <x v="334"/>
    <n v="52"/>
    <x v="0"/>
    <s v="HR"/>
    <x v="1"/>
    <d v="2000-07-16T00:00:00"/>
    <n v="25"/>
    <x v="340"/>
  </r>
  <r>
    <x v="341"/>
    <x v="335"/>
    <n v="35"/>
    <x v="2"/>
    <s v="Finance"/>
    <x v="1"/>
    <d v="1990-11-14T00:00:00"/>
    <n v="18"/>
    <x v="341"/>
  </r>
  <r>
    <x v="342"/>
    <x v="336"/>
    <n v="41"/>
    <x v="3"/>
    <s v="Sales"/>
    <x v="1"/>
    <d v="1970-09-19T00:00:00"/>
    <n v="20"/>
    <x v="342"/>
  </r>
  <r>
    <x v="343"/>
    <x v="337"/>
    <n v="62"/>
    <x v="0"/>
    <s v="IT"/>
    <x v="0"/>
    <d v="2017-10-13T00:00:00"/>
    <n v="31"/>
    <x v="343"/>
  </r>
  <r>
    <x v="344"/>
    <x v="338"/>
    <n v="46"/>
    <x v="3"/>
    <s v="Finance"/>
    <x v="1"/>
    <d v="2020-02-25T00:00:00"/>
    <n v="22"/>
    <x v="344"/>
  </r>
  <r>
    <x v="345"/>
    <x v="339"/>
    <n v="44"/>
    <x v="3"/>
    <s v="Sales"/>
    <x v="1"/>
    <d v="1999-06-17T00:00:00"/>
    <n v="21"/>
    <x v="345"/>
  </r>
  <r>
    <x v="346"/>
    <x v="267"/>
    <n v="22"/>
    <x v="1"/>
    <s v="IT"/>
    <x v="0"/>
    <d v="1984-04-01T00:00:00"/>
    <n v="14"/>
    <x v="346"/>
  </r>
  <r>
    <x v="347"/>
    <x v="340"/>
    <n v="54"/>
    <x v="0"/>
    <s v="Sales"/>
    <x v="0"/>
    <d v="1981-04-26T00:00:00"/>
    <n v="26"/>
    <x v="347"/>
  </r>
  <r>
    <x v="348"/>
    <x v="341"/>
    <n v="44"/>
    <x v="3"/>
    <s v="Sales"/>
    <x v="0"/>
    <d v="2021-11-17T00:00:00"/>
    <n v="20"/>
    <x v="348"/>
  </r>
  <r>
    <x v="349"/>
    <x v="342"/>
    <n v="43"/>
    <x v="3"/>
    <s v="IT"/>
    <x v="1"/>
    <d v="1996-03-10T00:00:00"/>
    <n v="21"/>
    <x v="349"/>
  </r>
  <r>
    <x v="350"/>
    <x v="343"/>
    <n v="51"/>
    <x v="0"/>
    <s v="Marketing"/>
    <x v="1"/>
    <d v="1996-03-16T00:00:00"/>
    <n v="21"/>
    <x v="350"/>
  </r>
  <r>
    <x v="351"/>
    <x v="344"/>
    <n v="26"/>
    <x v="1"/>
    <s v="Marketing"/>
    <x v="1"/>
    <d v="1999-02-23T00:00:00"/>
    <n v="13"/>
    <x v="351"/>
  </r>
  <r>
    <x v="352"/>
    <x v="345"/>
    <n v="62"/>
    <x v="0"/>
    <s v="IT"/>
    <x v="1"/>
    <d v="1983-12-22T00:00:00"/>
    <n v="31"/>
    <x v="352"/>
  </r>
  <r>
    <x v="353"/>
    <x v="65"/>
    <n v="49"/>
    <x v="3"/>
    <s v="IT"/>
    <x v="1"/>
    <d v="2005-09-01T00:00:00"/>
    <n v="25"/>
    <x v="353"/>
  </r>
  <r>
    <x v="354"/>
    <x v="346"/>
    <n v="31"/>
    <x v="2"/>
    <s v="Marketing"/>
    <x v="1"/>
    <d v="1973-08-07T00:00:00"/>
    <n v="16"/>
    <x v="354"/>
  </r>
  <r>
    <x v="355"/>
    <x v="347"/>
    <n v="48"/>
    <x v="3"/>
    <s v="IT"/>
    <x v="0"/>
    <d v="1986-04-06T00:00:00"/>
    <n v="25"/>
    <x v="355"/>
  </r>
  <r>
    <x v="356"/>
    <x v="215"/>
    <n v="27"/>
    <x v="1"/>
    <s v="IT"/>
    <x v="1"/>
    <d v="1986-10-11T00:00:00"/>
    <n v="11"/>
    <x v="356"/>
  </r>
  <r>
    <x v="357"/>
    <x v="348"/>
    <n v="23"/>
    <x v="1"/>
    <s v="Finance"/>
    <x v="1"/>
    <d v="1975-11-14T00:00:00"/>
    <n v="11"/>
    <x v="357"/>
  </r>
  <r>
    <x v="358"/>
    <x v="349"/>
    <n v="46"/>
    <x v="3"/>
    <s v="IT"/>
    <x v="0"/>
    <d v="1996-04-09T00:00:00"/>
    <n v="20"/>
    <x v="358"/>
  </r>
  <r>
    <x v="359"/>
    <x v="350"/>
    <n v="24"/>
    <x v="1"/>
    <s v="HR"/>
    <x v="1"/>
    <d v="2012-08-29T00:00:00"/>
    <n v="9"/>
    <x v="359"/>
  </r>
  <r>
    <x v="360"/>
    <x v="351"/>
    <n v="52"/>
    <x v="0"/>
    <s v="Marketing"/>
    <x v="0"/>
    <d v="2014-04-30T00:00:00"/>
    <n v="22"/>
    <x v="360"/>
  </r>
  <r>
    <x v="361"/>
    <x v="352"/>
    <n v="49"/>
    <x v="3"/>
    <s v="Sales"/>
    <x v="0"/>
    <d v="2012-01-02T00:00:00"/>
    <n v="22"/>
    <x v="361"/>
  </r>
  <r>
    <x v="362"/>
    <x v="353"/>
    <n v="27"/>
    <x v="1"/>
    <s v="Sales"/>
    <x v="0"/>
    <d v="1996-07-01T00:00:00"/>
    <n v="12"/>
    <x v="362"/>
  </r>
  <r>
    <x v="363"/>
    <x v="354"/>
    <n v="61"/>
    <x v="0"/>
    <s v="Finance"/>
    <x v="1"/>
    <d v="2017-02-06T00:00:00"/>
    <n v="28"/>
    <x v="363"/>
  </r>
  <r>
    <x v="364"/>
    <x v="355"/>
    <n v="57"/>
    <x v="0"/>
    <s v="Marketing"/>
    <x v="0"/>
    <d v="1998-08-24T00:00:00"/>
    <n v="28"/>
    <x v="364"/>
  </r>
  <r>
    <x v="365"/>
    <x v="356"/>
    <n v="30"/>
    <x v="2"/>
    <s v="Sales"/>
    <x v="1"/>
    <d v="1972-03-31T00:00:00"/>
    <n v="14"/>
    <x v="365"/>
  </r>
  <r>
    <x v="366"/>
    <x v="357"/>
    <n v="50"/>
    <x v="0"/>
    <s v="Sales"/>
    <x v="1"/>
    <d v="1992-10-29T00:00:00"/>
    <n v="24"/>
    <x v="366"/>
  </r>
  <r>
    <x v="367"/>
    <x v="358"/>
    <n v="35"/>
    <x v="2"/>
    <s v="Finance"/>
    <x v="0"/>
    <d v="2017-12-02T00:00:00"/>
    <n v="17"/>
    <x v="367"/>
  </r>
  <r>
    <x v="368"/>
    <x v="359"/>
    <n v="62"/>
    <x v="0"/>
    <s v="Marketing"/>
    <x v="1"/>
    <d v="2017-07-16T00:00:00"/>
    <n v="31"/>
    <x v="368"/>
  </r>
  <r>
    <x v="369"/>
    <x v="360"/>
    <n v="49"/>
    <x v="3"/>
    <s v="Marketing"/>
    <x v="0"/>
    <d v="2010-08-31T00:00:00"/>
    <n v="20"/>
    <x v="369"/>
  </r>
  <r>
    <x v="370"/>
    <x v="361"/>
    <n v="49"/>
    <x v="3"/>
    <s v="IT"/>
    <x v="1"/>
    <d v="2018-10-06T00:00:00"/>
    <n v="28"/>
    <x v="370"/>
  </r>
  <r>
    <x v="371"/>
    <x v="362"/>
    <n v="57"/>
    <x v="0"/>
    <s v="IT"/>
    <x v="0"/>
    <d v="2006-01-01T00:00:00"/>
    <n v="27"/>
    <x v="371"/>
  </r>
  <r>
    <x v="372"/>
    <x v="363"/>
    <n v="37"/>
    <x v="2"/>
    <s v="HR"/>
    <x v="0"/>
    <d v="1994-03-01T00:00:00"/>
    <n v="19"/>
    <x v="372"/>
  </r>
  <r>
    <x v="373"/>
    <x v="364"/>
    <n v="63"/>
    <x v="0"/>
    <s v="Marketing"/>
    <x v="1"/>
    <d v="1988-09-25T00:00:00"/>
    <n v="36"/>
    <x v="373"/>
  </r>
  <r>
    <x v="374"/>
    <x v="365"/>
    <n v="23"/>
    <x v="1"/>
    <s v="Sales"/>
    <x v="0"/>
    <d v="2010-03-07T00:00:00"/>
    <n v="9"/>
    <x v="374"/>
  </r>
  <r>
    <x v="375"/>
    <x v="366"/>
    <n v="47"/>
    <x v="3"/>
    <s v="IT"/>
    <x v="0"/>
    <d v="1989-09-29T00:00:00"/>
    <n v="20"/>
    <x v="375"/>
  </r>
  <r>
    <x v="376"/>
    <x v="367"/>
    <n v="42"/>
    <x v="3"/>
    <s v="Finance"/>
    <x v="1"/>
    <d v="1998-07-14T00:00:00"/>
    <n v="22"/>
    <x v="376"/>
  </r>
  <r>
    <x v="377"/>
    <x v="368"/>
    <n v="26"/>
    <x v="1"/>
    <s v="Finance"/>
    <x v="0"/>
    <d v="1995-06-14T00:00:00"/>
    <n v="12"/>
    <x v="377"/>
  </r>
  <r>
    <x v="378"/>
    <x v="369"/>
    <n v="63"/>
    <x v="0"/>
    <s v="IT"/>
    <x v="1"/>
    <d v="1976-06-03T00:00:00"/>
    <n v="31"/>
    <x v="378"/>
  </r>
  <r>
    <x v="379"/>
    <x v="370"/>
    <n v="22"/>
    <x v="1"/>
    <s v="Sales"/>
    <x v="0"/>
    <d v="2020-06-29T00:00:00"/>
    <n v="7"/>
    <x v="379"/>
  </r>
  <r>
    <x v="380"/>
    <x v="371"/>
    <n v="36"/>
    <x v="2"/>
    <s v="IT"/>
    <x v="0"/>
    <d v="2025-01-09T00:00:00"/>
    <n v="13"/>
    <x v="380"/>
  </r>
  <r>
    <x v="381"/>
    <x v="372"/>
    <n v="30"/>
    <x v="2"/>
    <s v="IT"/>
    <x v="0"/>
    <d v="2003-05-08T00:00:00"/>
    <n v="16"/>
    <x v="381"/>
  </r>
  <r>
    <x v="382"/>
    <x v="373"/>
    <n v="62"/>
    <x v="0"/>
    <s v="Finance"/>
    <x v="1"/>
    <d v="2001-02-09T00:00:00"/>
    <n v="29"/>
    <x v="382"/>
  </r>
  <r>
    <x v="383"/>
    <x v="374"/>
    <n v="32"/>
    <x v="2"/>
    <s v="Sales"/>
    <x v="0"/>
    <d v="1990-06-13T00:00:00"/>
    <n v="15"/>
    <x v="383"/>
  </r>
  <r>
    <x v="384"/>
    <x v="375"/>
    <n v="51"/>
    <x v="0"/>
    <s v="HR"/>
    <x v="1"/>
    <d v="2012-12-18T00:00:00"/>
    <n v="24"/>
    <x v="384"/>
  </r>
  <r>
    <x v="385"/>
    <x v="376"/>
    <n v="45"/>
    <x v="3"/>
    <s v="IT"/>
    <x v="0"/>
    <d v="1978-07-01T00:00:00"/>
    <n v="23"/>
    <x v="385"/>
  </r>
  <r>
    <x v="386"/>
    <x v="377"/>
    <n v="61"/>
    <x v="0"/>
    <s v="Marketing"/>
    <x v="0"/>
    <d v="2020-05-22T00:00:00"/>
    <n v="30"/>
    <x v="386"/>
  </r>
  <r>
    <x v="387"/>
    <x v="378"/>
    <n v="47"/>
    <x v="3"/>
    <s v="Sales"/>
    <x v="0"/>
    <d v="2000-05-27T00:00:00"/>
    <n v="24"/>
    <x v="387"/>
  </r>
  <r>
    <x v="388"/>
    <x v="379"/>
    <n v="42"/>
    <x v="3"/>
    <s v="Marketing"/>
    <x v="0"/>
    <d v="1991-11-22T00:00:00"/>
    <n v="22"/>
    <x v="388"/>
  </r>
  <r>
    <x v="389"/>
    <x v="380"/>
    <n v="61"/>
    <x v="0"/>
    <s v="HR"/>
    <x v="0"/>
    <d v="1980-03-21T00:00:00"/>
    <n v="32"/>
    <x v="389"/>
  </r>
  <r>
    <x v="390"/>
    <x v="381"/>
    <n v="23"/>
    <x v="1"/>
    <s v="IT"/>
    <x v="1"/>
    <d v="2016-05-16T00:00:00"/>
    <n v="10"/>
    <x v="390"/>
  </r>
  <r>
    <x v="391"/>
    <x v="382"/>
    <n v="33"/>
    <x v="2"/>
    <s v="Sales"/>
    <x v="0"/>
    <d v="2015-10-21T00:00:00"/>
    <n v="14"/>
    <x v="391"/>
  </r>
  <r>
    <x v="392"/>
    <x v="383"/>
    <n v="52"/>
    <x v="0"/>
    <s v="Marketing"/>
    <x v="0"/>
    <d v="2014-04-26T00:00:00"/>
    <n v="25"/>
    <x v="392"/>
  </r>
  <r>
    <x v="393"/>
    <x v="384"/>
    <n v="44"/>
    <x v="3"/>
    <s v="Finance"/>
    <x v="0"/>
    <d v="1977-08-15T00:00:00"/>
    <n v="25"/>
    <x v="393"/>
  </r>
  <r>
    <x v="394"/>
    <x v="385"/>
    <n v="46"/>
    <x v="3"/>
    <s v="IT"/>
    <x v="0"/>
    <d v="1983-05-09T00:00:00"/>
    <n v="21"/>
    <x v="394"/>
  </r>
  <r>
    <x v="395"/>
    <x v="386"/>
    <n v="27"/>
    <x v="1"/>
    <s v="IT"/>
    <x v="0"/>
    <d v="1988-03-28T00:00:00"/>
    <n v="12"/>
    <x v="395"/>
  </r>
  <r>
    <x v="396"/>
    <x v="387"/>
    <n v="26"/>
    <x v="1"/>
    <s v="Finance"/>
    <x v="1"/>
    <d v="1973-11-24T00:00:00"/>
    <n v="15"/>
    <x v="396"/>
  </r>
  <r>
    <x v="397"/>
    <x v="137"/>
    <n v="30"/>
    <x v="2"/>
    <s v="Sales"/>
    <x v="1"/>
    <d v="2018-04-16T00:00:00"/>
    <n v="16"/>
    <x v="397"/>
  </r>
  <r>
    <x v="398"/>
    <x v="388"/>
    <n v="58"/>
    <x v="0"/>
    <s v="IT"/>
    <x v="0"/>
    <d v="2017-08-23T00:00:00"/>
    <n v="28"/>
    <x v="398"/>
  </r>
  <r>
    <x v="399"/>
    <x v="389"/>
    <n v="44"/>
    <x v="3"/>
    <s v="IT"/>
    <x v="1"/>
    <d v="1987-01-24T00:00:00"/>
    <n v="18"/>
    <x v="399"/>
  </r>
  <r>
    <x v="400"/>
    <x v="390"/>
    <n v="45"/>
    <x v="3"/>
    <s v="Finance"/>
    <x v="1"/>
    <d v="2017-12-12T00:00:00"/>
    <n v="21"/>
    <x v="400"/>
  </r>
  <r>
    <x v="401"/>
    <x v="391"/>
    <n v="23"/>
    <x v="1"/>
    <s v="Finance"/>
    <x v="0"/>
    <d v="2003-07-29T00:00:00"/>
    <n v="12"/>
    <x v="401"/>
  </r>
  <r>
    <x v="402"/>
    <x v="392"/>
    <n v="43"/>
    <x v="3"/>
    <s v="Finance"/>
    <x v="1"/>
    <d v="1984-11-26T00:00:00"/>
    <n v="22"/>
    <x v="402"/>
  </r>
  <r>
    <x v="403"/>
    <x v="393"/>
    <n v="41"/>
    <x v="3"/>
    <s v="Finance"/>
    <x v="1"/>
    <d v="1976-12-18T00:00:00"/>
    <n v="20"/>
    <x v="403"/>
  </r>
  <r>
    <x v="404"/>
    <x v="394"/>
    <n v="26"/>
    <x v="1"/>
    <s v="Marketing"/>
    <x v="0"/>
    <d v="1976-07-13T00:00:00"/>
    <n v="12"/>
    <x v="404"/>
  </r>
  <r>
    <x v="405"/>
    <x v="395"/>
    <n v="22"/>
    <x v="1"/>
    <s v="IT"/>
    <x v="1"/>
    <d v="2004-05-16T00:00:00"/>
    <n v="9"/>
    <x v="405"/>
  </r>
  <r>
    <x v="406"/>
    <x v="396"/>
    <n v="51"/>
    <x v="0"/>
    <s v="Sales"/>
    <x v="1"/>
    <d v="1986-10-27T00:00:00"/>
    <n v="24"/>
    <x v="406"/>
  </r>
  <r>
    <x v="407"/>
    <x v="397"/>
    <n v="55"/>
    <x v="0"/>
    <s v="IT"/>
    <x v="0"/>
    <d v="2003-01-09T00:00:00"/>
    <n v="24"/>
    <x v="407"/>
  </r>
  <r>
    <x v="408"/>
    <x v="398"/>
    <n v="27"/>
    <x v="1"/>
    <s v="HR"/>
    <x v="0"/>
    <d v="2002-03-27T00:00:00"/>
    <n v="16"/>
    <x v="408"/>
  </r>
  <r>
    <x v="409"/>
    <x v="399"/>
    <n v="57"/>
    <x v="0"/>
    <s v="Sales"/>
    <x v="1"/>
    <d v="2020-05-02T00:00:00"/>
    <n v="29"/>
    <x v="409"/>
  </r>
  <r>
    <x v="410"/>
    <x v="400"/>
    <n v="54"/>
    <x v="0"/>
    <s v="Finance"/>
    <x v="0"/>
    <d v="2009-01-25T00:00:00"/>
    <n v="28"/>
    <x v="410"/>
  </r>
  <r>
    <x v="411"/>
    <x v="401"/>
    <n v="34"/>
    <x v="2"/>
    <s v="HR"/>
    <x v="0"/>
    <d v="2018-04-21T00:00:00"/>
    <n v="16"/>
    <x v="411"/>
  </r>
  <r>
    <x v="412"/>
    <x v="358"/>
    <n v="31"/>
    <x v="2"/>
    <s v="Marketing"/>
    <x v="0"/>
    <d v="1980-11-19T00:00:00"/>
    <n v="11"/>
    <x v="412"/>
  </r>
  <r>
    <x v="413"/>
    <x v="402"/>
    <n v="42"/>
    <x v="3"/>
    <s v="Finance"/>
    <x v="0"/>
    <d v="1993-05-15T00:00:00"/>
    <n v="20"/>
    <x v="413"/>
  </r>
  <r>
    <x v="414"/>
    <x v="403"/>
    <n v="36"/>
    <x v="2"/>
    <s v="IT"/>
    <x v="0"/>
    <d v="1975-05-16T00:00:00"/>
    <n v="16"/>
    <x v="414"/>
  </r>
  <r>
    <x v="415"/>
    <x v="404"/>
    <n v="23"/>
    <x v="1"/>
    <s v="HR"/>
    <x v="0"/>
    <d v="2011-10-16T00:00:00"/>
    <n v="11"/>
    <x v="415"/>
  </r>
  <r>
    <x v="416"/>
    <x v="405"/>
    <n v="43"/>
    <x v="3"/>
    <s v="Marketing"/>
    <x v="1"/>
    <d v="1979-09-11T00:00:00"/>
    <n v="20"/>
    <x v="416"/>
  </r>
  <r>
    <x v="417"/>
    <x v="406"/>
    <n v="23"/>
    <x v="1"/>
    <s v="IT"/>
    <x v="0"/>
    <d v="1983-03-08T00:00:00"/>
    <n v="10"/>
    <x v="417"/>
  </r>
  <r>
    <x v="418"/>
    <x v="407"/>
    <n v="36"/>
    <x v="2"/>
    <s v="Marketing"/>
    <x v="1"/>
    <d v="2020-12-11T00:00:00"/>
    <n v="19"/>
    <x v="418"/>
  </r>
  <r>
    <x v="419"/>
    <x v="408"/>
    <n v="36"/>
    <x v="2"/>
    <s v="IT"/>
    <x v="1"/>
    <d v="2003-04-19T00:00:00"/>
    <n v="17"/>
    <x v="419"/>
  </r>
  <r>
    <x v="420"/>
    <x v="409"/>
    <n v="41"/>
    <x v="3"/>
    <s v="Finance"/>
    <x v="0"/>
    <d v="1999-12-21T00:00:00"/>
    <n v="18"/>
    <x v="420"/>
  </r>
  <r>
    <x v="421"/>
    <x v="410"/>
    <n v="30"/>
    <x v="2"/>
    <s v="Marketing"/>
    <x v="1"/>
    <d v="2012-02-29T00:00:00"/>
    <n v="12"/>
    <x v="421"/>
  </r>
  <r>
    <x v="422"/>
    <x v="411"/>
    <n v="53"/>
    <x v="0"/>
    <s v="IT"/>
    <x v="0"/>
    <d v="2022-07-06T00:00:00"/>
    <n v="26"/>
    <x v="422"/>
  </r>
  <r>
    <x v="423"/>
    <x v="412"/>
    <n v="60"/>
    <x v="0"/>
    <s v="HR"/>
    <x v="0"/>
    <d v="1994-02-28T00:00:00"/>
    <n v="29"/>
    <x v="423"/>
  </r>
  <r>
    <x v="424"/>
    <x v="413"/>
    <n v="36"/>
    <x v="2"/>
    <s v="Finance"/>
    <x v="1"/>
    <d v="1983-09-03T00:00:00"/>
    <n v="14"/>
    <x v="424"/>
  </r>
  <r>
    <x v="425"/>
    <x v="414"/>
    <n v="57"/>
    <x v="0"/>
    <s v="Sales"/>
    <x v="0"/>
    <d v="2015-11-24T00:00:00"/>
    <n v="28"/>
    <x v="425"/>
  </r>
  <r>
    <x v="426"/>
    <x v="415"/>
    <n v="37"/>
    <x v="2"/>
    <s v="Finance"/>
    <x v="0"/>
    <d v="2010-02-22T00:00:00"/>
    <n v="21"/>
    <x v="426"/>
  </r>
  <r>
    <x v="427"/>
    <x v="416"/>
    <n v="50"/>
    <x v="0"/>
    <s v="IT"/>
    <x v="1"/>
    <d v="2006-04-20T00:00:00"/>
    <n v="18"/>
    <x v="427"/>
  </r>
  <r>
    <x v="428"/>
    <x v="417"/>
    <n v="44"/>
    <x v="3"/>
    <s v="Finance"/>
    <x v="0"/>
    <d v="1998-08-16T00:00:00"/>
    <n v="22"/>
    <x v="428"/>
  </r>
  <r>
    <x v="429"/>
    <x v="418"/>
    <n v="49"/>
    <x v="3"/>
    <s v="IT"/>
    <x v="0"/>
    <d v="2022-01-09T00:00:00"/>
    <n v="25"/>
    <x v="429"/>
  </r>
  <r>
    <x v="430"/>
    <x v="419"/>
    <n v="64"/>
    <x v="0"/>
    <s v="Finance"/>
    <x v="0"/>
    <d v="1987-05-14T00:00:00"/>
    <n v="31"/>
    <x v="430"/>
  </r>
  <r>
    <x v="431"/>
    <x v="420"/>
    <n v="49"/>
    <x v="3"/>
    <s v="Finance"/>
    <x v="0"/>
    <d v="2021-05-30T00:00:00"/>
    <n v="24"/>
    <x v="431"/>
  </r>
  <r>
    <x v="432"/>
    <x v="421"/>
    <n v="27"/>
    <x v="1"/>
    <s v="Sales"/>
    <x v="1"/>
    <d v="1979-02-09T00:00:00"/>
    <n v="15"/>
    <x v="432"/>
  </r>
  <r>
    <x v="433"/>
    <x v="422"/>
    <n v="42"/>
    <x v="3"/>
    <s v="Sales"/>
    <x v="0"/>
    <d v="1978-07-13T00:00:00"/>
    <n v="21"/>
    <x v="433"/>
  </r>
  <r>
    <x v="434"/>
    <x v="332"/>
    <n v="28"/>
    <x v="1"/>
    <s v="Sales"/>
    <x v="0"/>
    <d v="2018-06-22T00:00:00"/>
    <n v="15"/>
    <x v="434"/>
  </r>
  <r>
    <x v="435"/>
    <x v="423"/>
    <n v="53"/>
    <x v="0"/>
    <s v="Sales"/>
    <x v="0"/>
    <d v="1999-07-11T00:00:00"/>
    <n v="29"/>
    <x v="435"/>
  </r>
  <r>
    <x v="436"/>
    <x v="424"/>
    <n v="48"/>
    <x v="3"/>
    <s v="HR"/>
    <x v="0"/>
    <d v="1971-06-06T00:00:00"/>
    <n v="24"/>
    <x v="436"/>
  </r>
  <r>
    <x v="437"/>
    <x v="425"/>
    <n v="49"/>
    <x v="3"/>
    <s v="Marketing"/>
    <x v="0"/>
    <d v="1985-11-29T00:00:00"/>
    <n v="20"/>
    <x v="437"/>
  </r>
  <r>
    <x v="438"/>
    <x v="426"/>
    <n v="54"/>
    <x v="0"/>
    <s v="Sales"/>
    <x v="0"/>
    <d v="1972-09-14T00:00:00"/>
    <n v="29"/>
    <x v="438"/>
  </r>
  <r>
    <x v="439"/>
    <x v="427"/>
    <n v="47"/>
    <x v="3"/>
    <s v="Sales"/>
    <x v="0"/>
    <d v="1993-06-27T00:00:00"/>
    <n v="24"/>
    <x v="439"/>
  </r>
  <r>
    <x v="440"/>
    <x v="428"/>
    <n v="40"/>
    <x v="3"/>
    <s v="HR"/>
    <x v="1"/>
    <d v="1973-03-02T00:00:00"/>
    <n v="19"/>
    <x v="440"/>
  </r>
  <r>
    <x v="441"/>
    <x v="429"/>
    <n v="45"/>
    <x v="3"/>
    <s v="Marketing"/>
    <x v="0"/>
    <d v="1982-06-09T00:00:00"/>
    <n v="22"/>
    <x v="441"/>
  </r>
  <r>
    <x v="442"/>
    <x v="430"/>
    <n v="55"/>
    <x v="0"/>
    <s v="Marketing"/>
    <x v="0"/>
    <d v="2012-11-05T00:00:00"/>
    <n v="26"/>
    <x v="442"/>
  </r>
  <r>
    <x v="443"/>
    <x v="431"/>
    <n v="55"/>
    <x v="0"/>
    <s v="Finance"/>
    <x v="1"/>
    <d v="2018-12-17T00:00:00"/>
    <n v="25"/>
    <x v="443"/>
  </r>
  <r>
    <x v="444"/>
    <x v="432"/>
    <n v="59"/>
    <x v="0"/>
    <s v="Sales"/>
    <x v="1"/>
    <d v="2000-10-15T00:00:00"/>
    <n v="29"/>
    <x v="444"/>
  </r>
  <r>
    <x v="445"/>
    <x v="433"/>
    <n v="54"/>
    <x v="0"/>
    <s v="HR"/>
    <x v="1"/>
    <d v="1972-05-24T00:00:00"/>
    <n v="28"/>
    <x v="445"/>
  </r>
  <r>
    <x v="446"/>
    <x v="434"/>
    <n v="24"/>
    <x v="1"/>
    <s v="HR"/>
    <x v="0"/>
    <d v="1997-01-23T00:00:00"/>
    <n v="10"/>
    <x v="446"/>
  </r>
  <r>
    <x v="447"/>
    <x v="435"/>
    <n v="24"/>
    <x v="1"/>
    <s v="Sales"/>
    <x v="1"/>
    <d v="1987-09-01T00:00:00"/>
    <n v="8"/>
    <x v="447"/>
  </r>
  <r>
    <x v="448"/>
    <x v="436"/>
    <n v="48"/>
    <x v="3"/>
    <s v="Finance"/>
    <x v="0"/>
    <d v="1997-10-26T00:00:00"/>
    <n v="20"/>
    <x v="448"/>
  </r>
  <r>
    <x v="449"/>
    <x v="437"/>
    <n v="50"/>
    <x v="0"/>
    <s v="Finance"/>
    <x v="1"/>
    <d v="2003-06-07T00:00:00"/>
    <n v="27"/>
    <x v="449"/>
  </r>
  <r>
    <x v="450"/>
    <x v="438"/>
    <n v="49"/>
    <x v="3"/>
    <s v="Sales"/>
    <x v="0"/>
    <d v="2004-08-18T00:00:00"/>
    <n v="28"/>
    <x v="450"/>
  </r>
  <r>
    <x v="451"/>
    <x v="439"/>
    <n v="31"/>
    <x v="2"/>
    <s v="Finance"/>
    <x v="1"/>
    <d v="2007-06-14T00:00:00"/>
    <n v="15"/>
    <x v="451"/>
  </r>
  <r>
    <x v="452"/>
    <x v="440"/>
    <n v="37"/>
    <x v="2"/>
    <s v="Sales"/>
    <x v="1"/>
    <d v="2008-11-09T00:00:00"/>
    <n v="21"/>
    <x v="452"/>
  </r>
  <r>
    <x v="453"/>
    <x v="441"/>
    <n v="45"/>
    <x v="3"/>
    <s v="HR"/>
    <x v="1"/>
    <d v="2006-08-16T00:00:00"/>
    <n v="24"/>
    <x v="453"/>
  </r>
  <r>
    <x v="454"/>
    <x v="442"/>
    <n v="52"/>
    <x v="0"/>
    <s v="Finance"/>
    <x v="1"/>
    <d v="2022-03-02T00:00:00"/>
    <n v="27"/>
    <x v="454"/>
  </r>
  <r>
    <x v="455"/>
    <x v="443"/>
    <n v="33"/>
    <x v="2"/>
    <s v="Marketing"/>
    <x v="1"/>
    <d v="2021-03-12T00:00:00"/>
    <n v="17"/>
    <x v="455"/>
  </r>
  <r>
    <x v="456"/>
    <x v="444"/>
    <n v="60"/>
    <x v="0"/>
    <s v="Marketing"/>
    <x v="0"/>
    <d v="2011-08-15T00:00:00"/>
    <n v="27"/>
    <x v="456"/>
  </r>
  <r>
    <x v="457"/>
    <x v="445"/>
    <n v="50"/>
    <x v="0"/>
    <s v="HR"/>
    <x v="0"/>
    <d v="2023-10-28T00:00:00"/>
    <n v="21"/>
    <x v="457"/>
  </r>
  <r>
    <x v="458"/>
    <x v="446"/>
    <n v="49"/>
    <x v="3"/>
    <s v="Sales"/>
    <x v="1"/>
    <d v="1973-09-01T00:00:00"/>
    <n v="24"/>
    <x v="458"/>
  </r>
  <r>
    <x v="459"/>
    <x v="447"/>
    <n v="52"/>
    <x v="0"/>
    <s v="IT"/>
    <x v="1"/>
    <d v="2021-02-09T00:00:00"/>
    <n v="28"/>
    <x v="459"/>
  </r>
  <r>
    <x v="460"/>
    <x v="448"/>
    <n v="51"/>
    <x v="0"/>
    <s v="HR"/>
    <x v="0"/>
    <d v="1984-05-20T00:00:00"/>
    <n v="22"/>
    <x v="460"/>
  </r>
  <r>
    <x v="461"/>
    <x v="449"/>
    <n v="42"/>
    <x v="3"/>
    <s v="Sales"/>
    <x v="1"/>
    <d v="1995-11-20T00:00:00"/>
    <n v="21"/>
    <x v="461"/>
  </r>
  <r>
    <x v="462"/>
    <x v="450"/>
    <n v="55"/>
    <x v="0"/>
    <s v="Marketing"/>
    <x v="0"/>
    <d v="1998-08-23T00:00:00"/>
    <n v="30"/>
    <x v="462"/>
  </r>
  <r>
    <x v="463"/>
    <x v="451"/>
    <n v="52"/>
    <x v="0"/>
    <s v="HR"/>
    <x v="1"/>
    <d v="1988-03-24T00:00:00"/>
    <n v="19"/>
    <x v="463"/>
  </r>
  <r>
    <x v="464"/>
    <x v="452"/>
    <n v="44"/>
    <x v="3"/>
    <s v="HR"/>
    <x v="1"/>
    <d v="1982-06-24T00:00:00"/>
    <n v="19"/>
    <x v="464"/>
  </r>
  <r>
    <x v="465"/>
    <x v="453"/>
    <n v="52"/>
    <x v="0"/>
    <s v="Marketing"/>
    <x v="1"/>
    <d v="2000-09-11T00:00:00"/>
    <n v="31"/>
    <x v="465"/>
  </r>
  <r>
    <x v="466"/>
    <x v="454"/>
    <n v="53"/>
    <x v="0"/>
    <s v="HR"/>
    <x v="0"/>
    <d v="1991-02-01T00:00:00"/>
    <n v="29"/>
    <x v="466"/>
  </r>
  <r>
    <x v="467"/>
    <x v="455"/>
    <n v="36"/>
    <x v="2"/>
    <s v="Sales"/>
    <x v="0"/>
    <d v="1987-06-08T00:00:00"/>
    <n v="19"/>
    <x v="467"/>
  </r>
  <r>
    <x v="468"/>
    <x v="456"/>
    <n v="39"/>
    <x v="2"/>
    <s v="Sales"/>
    <x v="0"/>
    <d v="2007-10-09T00:00:00"/>
    <n v="17"/>
    <x v="468"/>
  </r>
  <r>
    <x v="469"/>
    <x v="457"/>
    <n v="23"/>
    <x v="1"/>
    <s v="HR"/>
    <x v="1"/>
    <d v="1985-09-08T00:00:00"/>
    <n v="10"/>
    <x v="469"/>
  </r>
  <r>
    <x v="470"/>
    <x v="458"/>
    <n v="27"/>
    <x v="1"/>
    <s v="IT"/>
    <x v="1"/>
    <d v="1971-05-08T00:00:00"/>
    <n v="10"/>
    <x v="470"/>
  </r>
  <r>
    <x v="471"/>
    <x v="459"/>
    <n v="27"/>
    <x v="1"/>
    <s v="HR"/>
    <x v="0"/>
    <d v="1976-10-21T00:00:00"/>
    <n v="14"/>
    <x v="471"/>
  </r>
  <r>
    <x v="472"/>
    <x v="460"/>
    <n v="60"/>
    <x v="0"/>
    <s v="Sales"/>
    <x v="0"/>
    <d v="2002-09-25T00:00:00"/>
    <n v="33"/>
    <x v="472"/>
  </r>
  <r>
    <x v="473"/>
    <x v="461"/>
    <n v="45"/>
    <x v="3"/>
    <s v="HR"/>
    <x v="0"/>
    <d v="1978-06-08T00:00:00"/>
    <n v="23"/>
    <x v="473"/>
  </r>
  <r>
    <x v="474"/>
    <x v="462"/>
    <n v="48"/>
    <x v="3"/>
    <s v="Sales"/>
    <x v="1"/>
    <d v="2006-08-17T00:00:00"/>
    <n v="24"/>
    <x v="474"/>
  </r>
  <r>
    <x v="475"/>
    <x v="463"/>
    <n v="44"/>
    <x v="3"/>
    <s v="Sales"/>
    <x v="1"/>
    <d v="1974-04-23T00:00:00"/>
    <n v="27"/>
    <x v="475"/>
  </r>
  <r>
    <x v="476"/>
    <x v="464"/>
    <n v="43"/>
    <x v="3"/>
    <s v="Sales"/>
    <x v="1"/>
    <d v="2025-05-26T00:00:00"/>
    <n v="19"/>
    <x v="476"/>
  </r>
  <r>
    <x v="477"/>
    <x v="465"/>
    <n v="51"/>
    <x v="0"/>
    <s v="Marketing"/>
    <x v="1"/>
    <d v="1986-11-28T00:00:00"/>
    <n v="24"/>
    <x v="477"/>
  </r>
  <r>
    <x v="478"/>
    <x v="466"/>
    <n v="62"/>
    <x v="0"/>
    <s v="IT"/>
    <x v="0"/>
    <d v="1974-08-28T00:00:00"/>
    <n v="29"/>
    <x v="478"/>
  </r>
  <r>
    <x v="479"/>
    <x v="467"/>
    <n v="56"/>
    <x v="0"/>
    <s v="Sales"/>
    <x v="1"/>
    <d v="2011-07-17T00:00:00"/>
    <n v="29"/>
    <x v="479"/>
  </r>
  <r>
    <x v="480"/>
    <x v="468"/>
    <n v="45"/>
    <x v="3"/>
    <s v="Marketing"/>
    <x v="0"/>
    <d v="2011-11-30T00:00:00"/>
    <n v="25"/>
    <x v="480"/>
  </r>
  <r>
    <x v="481"/>
    <x v="469"/>
    <n v="23"/>
    <x v="1"/>
    <s v="IT"/>
    <x v="1"/>
    <d v="1973-03-27T00:00:00"/>
    <n v="10"/>
    <x v="481"/>
  </r>
  <r>
    <x v="482"/>
    <x v="470"/>
    <n v="42"/>
    <x v="3"/>
    <s v="HR"/>
    <x v="1"/>
    <d v="1994-10-27T00:00:00"/>
    <n v="21"/>
    <x v="482"/>
  </r>
  <r>
    <x v="483"/>
    <x v="471"/>
    <n v="56"/>
    <x v="0"/>
    <s v="Finance"/>
    <x v="0"/>
    <d v="2011-12-04T00:00:00"/>
    <n v="29"/>
    <x v="483"/>
  </r>
  <r>
    <x v="484"/>
    <x v="472"/>
    <n v="60"/>
    <x v="0"/>
    <s v="Sales"/>
    <x v="1"/>
    <d v="1971-08-13T00:00:00"/>
    <n v="32"/>
    <x v="484"/>
  </r>
  <r>
    <x v="485"/>
    <x v="473"/>
    <n v="38"/>
    <x v="2"/>
    <s v="HR"/>
    <x v="1"/>
    <d v="2018-11-15T00:00:00"/>
    <n v="25"/>
    <x v="485"/>
  </r>
  <r>
    <x v="486"/>
    <x v="474"/>
    <n v="42"/>
    <x v="3"/>
    <s v="Finance"/>
    <x v="0"/>
    <d v="1987-07-29T00:00:00"/>
    <n v="24"/>
    <x v="486"/>
  </r>
  <r>
    <x v="487"/>
    <x v="475"/>
    <n v="35"/>
    <x v="2"/>
    <s v="Sales"/>
    <x v="1"/>
    <d v="2001-04-14T00:00:00"/>
    <n v="14"/>
    <x v="487"/>
  </r>
  <r>
    <x v="488"/>
    <x v="476"/>
    <n v="64"/>
    <x v="0"/>
    <s v="IT"/>
    <x v="0"/>
    <d v="2001-10-01T00:00:00"/>
    <n v="35"/>
    <x v="488"/>
  </r>
  <r>
    <x v="489"/>
    <x v="477"/>
    <n v="48"/>
    <x v="3"/>
    <s v="IT"/>
    <x v="1"/>
    <d v="1974-05-27T00:00:00"/>
    <n v="23"/>
    <x v="489"/>
  </r>
  <r>
    <x v="490"/>
    <x v="478"/>
    <n v="29"/>
    <x v="1"/>
    <s v="Marketing"/>
    <x v="0"/>
    <d v="1986-10-07T00:00:00"/>
    <n v="15"/>
    <x v="490"/>
  </r>
  <r>
    <x v="491"/>
    <x v="479"/>
    <n v="27"/>
    <x v="1"/>
    <s v="Finance"/>
    <x v="1"/>
    <d v="1975-11-22T00:00:00"/>
    <n v="14"/>
    <x v="491"/>
  </r>
  <r>
    <x v="492"/>
    <x v="480"/>
    <n v="43"/>
    <x v="3"/>
    <s v="HR"/>
    <x v="1"/>
    <d v="1993-10-24T00:00:00"/>
    <n v="23"/>
    <x v="492"/>
  </r>
  <r>
    <x v="493"/>
    <x v="173"/>
    <n v="42"/>
    <x v="3"/>
    <s v="IT"/>
    <x v="0"/>
    <d v="1973-01-17T00:00:00"/>
    <n v="22"/>
    <x v="493"/>
  </r>
  <r>
    <x v="494"/>
    <x v="481"/>
    <n v="59"/>
    <x v="0"/>
    <s v="HR"/>
    <x v="0"/>
    <d v="2014-05-30T00:00:00"/>
    <n v="31"/>
    <x v="494"/>
  </r>
  <r>
    <x v="495"/>
    <x v="482"/>
    <n v="32"/>
    <x v="2"/>
    <s v="Marketing"/>
    <x v="1"/>
    <d v="2013-12-04T00:00:00"/>
    <n v="16"/>
    <x v="495"/>
  </r>
  <r>
    <x v="496"/>
    <x v="483"/>
    <n v="26"/>
    <x v="1"/>
    <s v="IT"/>
    <x v="1"/>
    <d v="2022-05-02T00:00:00"/>
    <n v="15"/>
    <x v="496"/>
  </r>
  <r>
    <x v="497"/>
    <x v="484"/>
    <n v="34"/>
    <x v="2"/>
    <s v="Finance"/>
    <x v="0"/>
    <d v="2025-04-22T00:00:00"/>
    <n v="16"/>
    <x v="497"/>
  </r>
  <r>
    <x v="498"/>
    <x v="485"/>
    <n v="60"/>
    <x v="0"/>
    <s v="HR"/>
    <x v="0"/>
    <d v="1970-01-13T00:00:00"/>
    <n v="28"/>
    <x v="498"/>
  </r>
  <r>
    <x v="499"/>
    <x v="486"/>
    <n v="29"/>
    <x v="1"/>
    <s v="Finance"/>
    <x v="1"/>
    <d v="1988-06-21T00:00:00"/>
    <n v="15"/>
    <x v="4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4EC243-9F17-48D7-99E4-26122E72901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9" firstHeaderRow="1" firstDataRow="1" firstDataCol="1"/>
  <pivotFields count="11">
    <pivotField showAll="0"/>
    <pivotField showAll="0"/>
    <pivotField showAll="0"/>
    <pivotField axis="axisRow" showAll="0">
      <items count="6">
        <item x="0"/>
        <item x="3"/>
        <item x="4"/>
        <item x="2"/>
        <item x="1"/>
        <item t="default"/>
      </items>
    </pivotField>
    <pivotField showAll="0"/>
    <pivotField numFmtId="14" showAll="0">
      <items count="496">
        <item x="493"/>
        <item x="236"/>
        <item x="284"/>
        <item x="302"/>
        <item x="293"/>
        <item x="261"/>
        <item x="337"/>
        <item x="266"/>
        <item x="77"/>
        <item x="465"/>
        <item x="150"/>
        <item x="431"/>
        <item x="479"/>
        <item x="190"/>
        <item x="36"/>
        <item x="269"/>
        <item x="27"/>
        <item x="360"/>
        <item x="165"/>
        <item x="440"/>
        <item x="231"/>
        <item x="235"/>
        <item x="433"/>
        <item x="35"/>
        <item x="488"/>
        <item x="182"/>
        <item x="309"/>
        <item x="435"/>
        <item x="476"/>
        <item x="20"/>
        <item x="201"/>
        <item x="349"/>
        <item x="159"/>
        <item x="453"/>
        <item x="391"/>
        <item x="272"/>
        <item x="43"/>
        <item x="10"/>
        <item x="470"/>
        <item x="56"/>
        <item x="484"/>
        <item x="70"/>
        <item x="473"/>
        <item x="186"/>
        <item x="80"/>
        <item x="303"/>
        <item x="238"/>
        <item x="50"/>
        <item x="409"/>
        <item x="158"/>
        <item x="254"/>
        <item x="105"/>
        <item x="140"/>
        <item x="352"/>
        <item x="486"/>
        <item x="31"/>
        <item x="63"/>
        <item x="66"/>
        <item x="373"/>
        <item x="399"/>
        <item x="83"/>
        <item x="221"/>
        <item x="33"/>
        <item x="4"/>
        <item x="59"/>
        <item x="466"/>
        <item x="205"/>
        <item x="398"/>
        <item x="206"/>
        <item x="39"/>
        <item x="388"/>
        <item x="155"/>
        <item x="163"/>
        <item x="224"/>
        <item x="468"/>
        <item x="380"/>
        <item x="428"/>
        <item x="217"/>
        <item x="149"/>
        <item x="110"/>
        <item x="118"/>
        <item x="259"/>
        <item x="427"/>
        <item x="239"/>
        <item x="125"/>
        <item x="292"/>
        <item x="411"/>
        <item x="222"/>
        <item x="1"/>
        <item x="78"/>
        <item x="384"/>
        <item x="29"/>
        <item x="296"/>
        <item x="320"/>
        <item x="232"/>
        <item x="407"/>
        <item x="213"/>
        <item x="299"/>
        <item x="196"/>
        <item x="237"/>
        <item x="342"/>
        <item x="187"/>
        <item x="176"/>
        <item x="322"/>
        <item x="6"/>
        <item x="193"/>
        <item x="91"/>
        <item x="45"/>
        <item x="162"/>
        <item x="5"/>
        <item x="436"/>
        <item x="459"/>
        <item x="15"/>
        <item x="169"/>
        <item x="247"/>
        <item x="412"/>
        <item x="135"/>
        <item x="389"/>
        <item x="75"/>
        <item x="271"/>
        <item x="168"/>
        <item x="199"/>
        <item x="136"/>
        <item x="419"/>
        <item x="7"/>
        <item x="315"/>
        <item x="347"/>
        <item x="341"/>
        <item x="153"/>
        <item x="455"/>
        <item x="311"/>
        <item x="102"/>
        <item x="263"/>
        <item x="13"/>
        <item x="127"/>
        <item x="147"/>
        <item x="112"/>
        <item x="397"/>
        <item x="24"/>
        <item x="333"/>
        <item x="120"/>
        <item x="244"/>
        <item x="111"/>
        <item x="101"/>
        <item x="464"/>
        <item x="432"/>
        <item x="350"/>
        <item x="485"/>
        <item x="351"/>
        <item x="401"/>
        <item x="472"/>
        <item x="394"/>
        <item x="106"/>
        <item x="425"/>
        <item x="462"/>
        <item x="58"/>
        <item x="481"/>
        <item x="442"/>
        <item x="52"/>
        <item x="275"/>
        <item x="229"/>
        <item x="458"/>
        <item x="390"/>
        <item x="494"/>
        <item x="180"/>
        <item x="38"/>
        <item x="368"/>
        <item x="334"/>
        <item x="258"/>
        <item x="276"/>
        <item x="171"/>
        <item x="133"/>
        <item x="89"/>
        <item x="370"/>
        <item x="198"/>
        <item x="324"/>
        <item x="57"/>
        <item x="287"/>
        <item x="378"/>
        <item x="138"/>
        <item x="336"/>
        <item x="174"/>
        <item x="461"/>
        <item x="260"/>
        <item x="257"/>
        <item x="104"/>
        <item x="71"/>
        <item x="11"/>
        <item x="243"/>
        <item x="145"/>
        <item x="204"/>
        <item x="383"/>
        <item x="192"/>
        <item x="72"/>
        <item x="160"/>
        <item x="189"/>
        <item x="267"/>
        <item x="323"/>
        <item x="73"/>
        <item x="19"/>
        <item x="361"/>
        <item x="274"/>
        <item x="408"/>
        <item x="434"/>
        <item x="487"/>
        <item x="265"/>
        <item x="183"/>
        <item x="246"/>
        <item x="418"/>
        <item x="367"/>
        <item x="0"/>
        <item x="316"/>
        <item x="301"/>
        <item x="32"/>
        <item x="41"/>
        <item x="477"/>
        <item x="51"/>
        <item x="184"/>
        <item x="372"/>
        <item x="172"/>
        <item x="456"/>
        <item x="344"/>
        <item x="345"/>
        <item x="26"/>
        <item x="353"/>
        <item x="85"/>
        <item x="357"/>
        <item x="251"/>
        <item x="227"/>
        <item x="109"/>
        <item x="441"/>
        <item x="68"/>
        <item x="230"/>
        <item x="74"/>
        <item x="154"/>
        <item x="86"/>
        <item x="327"/>
        <item x="170"/>
        <item x="107"/>
        <item x="443"/>
        <item x="331"/>
        <item x="143"/>
        <item x="295"/>
        <item x="371"/>
        <item x="310"/>
        <item x="167"/>
        <item x="423"/>
        <item x="457"/>
        <item x="359"/>
        <item x="2"/>
        <item x="285"/>
        <item x="216"/>
        <item x="280"/>
        <item x="346"/>
        <item x="211"/>
        <item x="340"/>
        <item x="289"/>
        <item x="430"/>
        <item x="415"/>
        <item x="47"/>
        <item x="148"/>
        <item x="65"/>
        <item x="382"/>
        <item x="335"/>
        <item x="460"/>
        <item x="439"/>
        <item x="332"/>
        <item x="377"/>
        <item x="16"/>
        <item x="482"/>
        <item x="241"/>
        <item x="144"/>
        <item x="277"/>
        <item x="483"/>
        <item x="403"/>
        <item x="18"/>
        <item x="67"/>
        <item x="179"/>
        <item x="115"/>
        <item x="325"/>
        <item x="157"/>
        <item x="252"/>
        <item x="467"/>
        <item x="402"/>
        <item x="141"/>
        <item x="55"/>
        <item x="219"/>
        <item x="414"/>
        <item x="130"/>
        <item x="376"/>
        <item x="444"/>
        <item x="396"/>
        <item x="95"/>
        <item x="175"/>
        <item x="330"/>
        <item x="400"/>
        <item x="87"/>
        <item x="282"/>
        <item x="445"/>
        <item x="61"/>
        <item x="30"/>
        <item x="14"/>
        <item x="214"/>
        <item x="245"/>
        <item x="177"/>
        <item x="152"/>
        <item x="307"/>
        <item x="270"/>
        <item x="203"/>
        <item x="64"/>
        <item x="99"/>
        <item x="348"/>
        <item x="191"/>
        <item x="249"/>
        <item x="366"/>
        <item x="422"/>
        <item x="92"/>
        <item x="142"/>
        <item x="122"/>
        <item x="121"/>
        <item x="240"/>
        <item x="223"/>
        <item x="448"/>
        <item x="469"/>
        <item x="48"/>
        <item x="164"/>
        <item x="300"/>
        <item x="119"/>
        <item x="286"/>
        <item x="185"/>
        <item x="314"/>
        <item x="446"/>
        <item x="113"/>
        <item x="228"/>
        <item x="463"/>
        <item x="278"/>
        <item x="139"/>
        <item x="28"/>
        <item x="328"/>
        <item x="40"/>
        <item x="250"/>
        <item x="60"/>
        <item x="62"/>
        <item x="84"/>
        <item x="166"/>
        <item x="317"/>
        <item x="447"/>
        <item x="304"/>
        <item x="405"/>
        <item x="94"/>
        <item x="207"/>
        <item x="255"/>
        <item x="25"/>
        <item x="329"/>
        <item x="297"/>
        <item x="288"/>
        <item x="21"/>
        <item x="253"/>
        <item x="161"/>
        <item x="116"/>
        <item x="421"/>
        <item x="369"/>
        <item x="313"/>
        <item x="268"/>
        <item x="131"/>
        <item x="234"/>
        <item x="364"/>
        <item x="256"/>
        <item x="474"/>
        <item x="451"/>
        <item x="321"/>
        <item x="410"/>
        <item x="3"/>
        <item x="475"/>
        <item x="478"/>
        <item x="356"/>
        <item x="117"/>
        <item x="416"/>
        <item x="233"/>
        <item x="306"/>
        <item x="49"/>
        <item x="188"/>
        <item x="354"/>
        <item x="437"/>
        <item x="81"/>
        <item x="379"/>
        <item x="194"/>
        <item x="79"/>
        <item x="103"/>
        <item x="22"/>
        <item x="298"/>
        <item x="54"/>
        <item x="490"/>
        <item x="93"/>
        <item x="200"/>
        <item x="137"/>
        <item x="387"/>
        <item x="355"/>
        <item x="290"/>
        <item x="215"/>
        <item x="489"/>
        <item x="23"/>
        <item x="134"/>
        <item x="9"/>
        <item x="202"/>
        <item x="12"/>
        <item x="264"/>
        <item x="82"/>
        <item x="386"/>
        <item x="420"/>
        <item x="294"/>
        <item x="385"/>
        <item x="156"/>
        <item x="114"/>
        <item x="129"/>
        <item x="181"/>
        <item x="326"/>
        <item x="358"/>
        <item x="132"/>
        <item x="151"/>
        <item x="363"/>
        <item x="97"/>
        <item x="393"/>
        <item x="338"/>
        <item x="362"/>
        <item x="395"/>
        <item x="146"/>
        <item x="123"/>
        <item x="318"/>
        <item x="308"/>
        <item x="126"/>
        <item x="392"/>
        <item x="128"/>
        <item x="406"/>
        <item x="209"/>
        <item x="429"/>
        <item x="273"/>
        <item x="96"/>
        <item x="178"/>
        <item x="365"/>
        <item x="312"/>
        <item x="480"/>
        <item x="438"/>
        <item x="34"/>
        <item x="46"/>
        <item x="319"/>
        <item x="69"/>
        <item x="279"/>
        <item x="53"/>
        <item x="339"/>
        <item x="404"/>
        <item x="124"/>
        <item x="381"/>
        <item x="173"/>
        <item x="374"/>
        <item x="225"/>
        <item x="88"/>
        <item x="413"/>
        <item x="8"/>
        <item x="42"/>
        <item x="454"/>
        <item x="450"/>
        <item x="426"/>
        <item x="220"/>
        <item x="343"/>
        <item x="424"/>
        <item x="218"/>
        <item x="283"/>
        <item x="449"/>
        <item x="44"/>
        <item x="195"/>
        <item x="491"/>
        <item x="417"/>
        <item x="281"/>
        <item x="108"/>
        <item x="305"/>
        <item x="76"/>
        <item x="248"/>
        <item x="212"/>
        <item x="208"/>
        <item x="291"/>
        <item x="98"/>
        <item x="197"/>
        <item x="452"/>
        <item x="262"/>
        <item x="17"/>
        <item x="210"/>
        <item x="226"/>
        <item x="37"/>
        <item x="375"/>
        <item x="100"/>
        <item x="492"/>
        <item x="471"/>
        <item x="242"/>
        <item x="90"/>
        <item t="default"/>
      </items>
    </pivotField>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s>
  <rowFields count="1">
    <field x="3"/>
  </rowFields>
  <rowItems count="6">
    <i>
      <x/>
    </i>
    <i>
      <x v="1"/>
    </i>
    <i>
      <x v="2"/>
    </i>
    <i>
      <x v="3"/>
    </i>
    <i>
      <x v="4"/>
    </i>
    <i t="grand">
      <x/>
    </i>
  </rowItems>
  <colItems count="1">
    <i/>
  </colItems>
  <dataFields count="1">
    <dataField name="Average of Salary" fld="7" subtotal="average" baseField="0" baseItem="0" numFmtId="164"/>
  </dataFields>
  <formats count="1">
    <format dxfId="1">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0FC65B-FA37-4668-BA77-9C2B77D9391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D10" firstHeaderRow="1" firstDataRow="2" firstDataCol="1"/>
  <pivotFields count="11">
    <pivotField showAll="0"/>
    <pivotField dataField="1" showAll="0"/>
    <pivotField showAll="0"/>
    <pivotField axis="axisRow" showAll="0">
      <items count="6">
        <item x="0"/>
        <item x="3"/>
        <item x="4"/>
        <item x="2"/>
        <item x="1"/>
        <item t="default"/>
      </items>
    </pivotField>
    <pivotField axis="axisCol" showAll="0">
      <items count="3">
        <item x="0"/>
        <item x="1"/>
        <item t="default"/>
      </items>
    </pivotField>
    <pivotField numFmtId="14" showAll="0">
      <items count="496">
        <item x="493"/>
        <item x="236"/>
        <item x="284"/>
        <item x="302"/>
        <item x="293"/>
        <item x="261"/>
        <item x="337"/>
        <item x="266"/>
        <item x="77"/>
        <item x="465"/>
        <item x="150"/>
        <item x="431"/>
        <item x="479"/>
        <item x="190"/>
        <item x="36"/>
        <item x="269"/>
        <item x="27"/>
        <item x="360"/>
        <item x="165"/>
        <item x="440"/>
        <item x="231"/>
        <item x="235"/>
        <item x="433"/>
        <item x="35"/>
        <item x="488"/>
        <item x="182"/>
        <item x="309"/>
        <item x="435"/>
        <item x="476"/>
        <item x="20"/>
        <item x="201"/>
        <item x="349"/>
        <item x="159"/>
        <item x="453"/>
        <item x="391"/>
        <item x="272"/>
        <item x="43"/>
        <item x="10"/>
        <item x="470"/>
        <item x="56"/>
        <item x="484"/>
        <item x="70"/>
        <item x="473"/>
        <item x="186"/>
        <item x="80"/>
        <item x="303"/>
        <item x="238"/>
        <item x="50"/>
        <item x="409"/>
        <item x="158"/>
        <item x="254"/>
        <item x="105"/>
        <item x="140"/>
        <item x="352"/>
        <item x="486"/>
        <item x="31"/>
        <item x="63"/>
        <item x="66"/>
        <item x="373"/>
        <item x="399"/>
        <item x="83"/>
        <item x="221"/>
        <item x="33"/>
        <item x="4"/>
        <item x="59"/>
        <item x="466"/>
        <item x="205"/>
        <item x="398"/>
        <item x="206"/>
        <item x="39"/>
        <item x="388"/>
        <item x="155"/>
        <item x="163"/>
        <item x="224"/>
        <item x="468"/>
        <item x="380"/>
        <item x="428"/>
        <item x="217"/>
        <item x="149"/>
        <item x="110"/>
        <item x="118"/>
        <item x="259"/>
        <item x="427"/>
        <item x="239"/>
        <item x="125"/>
        <item x="292"/>
        <item x="411"/>
        <item x="222"/>
        <item x="1"/>
        <item x="78"/>
        <item x="384"/>
        <item x="29"/>
        <item x="296"/>
        <item x="320"/>
        <item x="232"/>
        <item x="407"/>
        <item x="213"/>
        <item x="299"/>
        <item x="196"/>
        <item x="237"/>
        <item x="342"/>
        <item x="187"/>
        <item x="176"/>
        <item x="322"/>
        <item x="6"/>
        <item x="193"/>
        <item x="91"/>
        <item x="45"/>
        <item x="162"/>
        <item x="5"/>
        <item x="436"/>
        <item x="459"/>
        <item x="15"/>
        <item x="169"/>
        <item x="247"/>
        <item x="412"/>
        <item x="135"/>
        <item x="389"/>
        <item x="75"/>
        <item x="271"/>
        <item x="168"/>
        <item x="199"/>
        <item x="136"/>
        <item x="419"/>
        <item x="7"/>
        <item x="315"/>
        <item x="347"/>
        <item x="341"/>
        <item x="153"/>
        <item x="455"/>
        <item x="311"/>
        <item x="102"/>
        <item x="263"/>
        <item x="13"/>
        <item x="127"/>
        <item x="147"/>
        <item x="112"/>
        <item x="397"/>
        <item x="24"/>
        <item x="333"/>
        <item x="120"/>
        <item x="244"/>
        <item x="111"/>
        <item x="101"/>
        <item x="464"/>
        <item x="432"/>
        <item x="350"/>
        <item x="485"/>
        <item x="351"/>
        <item x="401"/>
        <item x="472"/>
        <item x="394"/>
        <item x="106"/>
        <item x="425"/>
        <item x="462"/>
        <item x="58"/>
        <item x="481"/>
        <item x="442"/>
        <item x="52"/>
        <item x="275"/>
        <item x="229"/>
        <item x="458"/>
        <item x="390"/>
        <item x="494"/>
        <item x="180"/>
        <item x="38"/>
        <item x="368"/>
        <item x="334"/>
        <item x="258"/>
        <item x="276"/>
        <item x="171"/>
        <item x="133"/>
        <item x="89"/>
        <item x="370"/>
        <item x="198"/>
        <item x="324"/>
        <item x="57"/>
        <item x="287"/>
        <item x="378"/>
        <item x="138"/>
        <item x="336"/>
        <item x="174"/>
        <item x="461"/>
        <item x="260"/>
        <item x="257"/>
        <item x="104"/>
        <item x="71"/>
        <item x="11"/>
        <item x="243"/>
        <item x="145"/>
        <item x="204"/>
        <item x="383"/>
        <item x="192"/>
        <item x="72"/>
        <item x="160"/>
        <item x="189"/>
        <item x="267"/>
        <item x="323"/>
        <item x="73"/>
        <item x="19"/>
        <item x="361"/>
        <item x="274"/>
        <item x="408"/>
        <item x="434"/>
        <item x="487"/>
        <item x="265"/>
        <item x="183"/>
        <item x="246"/>
        <item x="418"/>
        <item x="367"/>
        <item x="0"/>
        <item x="316"/>
        <item x="301"/>
        <item x="32"/>
        <item x="41"/>
        <item x="477"/>
        <item x="51"/>
        <item x="184"/>
        <item x="372"/>
        <item x="172"/>
        <item x="456"/>
        <item x="344"/>
        <item x="345"/>
        <item x="26"/>
        <item x="353"/>
        <item x="85"/>
        <item x="357"/>
        <item x="251"/>
        <item x="227"/>
        <item x="109"/>
        <item x="441"/>
        <item x="68"/>
        <item x="230"/>
        <item x="74"/>
        <item x="154"/>
        <item x="86"/>
        <item x="327"/>
        <item x="170"/>
        <item x="107"/>
        <item x="443"/>
        <item x="331"/>
        <item x="143"/>
        <item x="295"/>
        <item x="371"/>
        <item x="310"/>
        <item x="167"/>
        <item x="423"/>
        <item x="457"/>
        <item x="359"/>
        <item x="2"/>
        <item x="285"/>
        <item x="216"/>
        <item x="280"/>
        <item x="346"/>
        <item x="211"/>
        <item x="340"/>
        <item x="289"/>
        <item x="430"/>
        <item x="415"/>
        <item x="47"/>
        <item x="148"/>
        <item x="65"/>
        <item x="382"/>
        <item x="335"/>
        <item x="460"/>
        <item x="439"/>
        <item x="332"/>
        <item x="377"/>
        <item x="16"/>
        <item x="482"/>
        <item x="241"/>
        <item x="144"/>
        <item x="277"/>
        <item x="483"/>
        <item x="403"/>
        <item x="18"/>
        <item x="67"/>
        <item x="179"/>
        <item x="115"/>
        <item x="325"/>
        <item x="157"/>
        <item x="252"/>
        <item x="467"/>
        <item x="402"/>
        <item x="141"/>
        <item x="55"/>
        <item x="219"/>
        <item x="414"/>
        <item x="130"/>
        <item x="376"/>
        <item x="444"/>
        <item x="396"/>
        <item x="95"/>
        <item x="175"/>
        <item x="330"/>
        <item x="400"/>
        <item x="87"/>
        <item x="282"/>
        <item x="445"/>
        <item x="61"/>
        <item x="30"/>
        <item x="14"/>
        <item x="214"/>
        <item x="245"/>
        <item x="177"/>
        <item x="152"/>
        <item x="307"/>
        <item x="270"/>
        <item x="203"/>
        <item x="64"/>
        <item x="99"/>
        <item x="348"/>
        <item x="191"/>
        <item x="249"/>
        <item x="366"/>
        <item x="422"/>
        <item x="92"/>
        <item x="142"/>
        <item x="122"/>
        <item x="121"/>
        <item x="240"/>
        <item x="223"/>
        <item x="448"/>
        <item x="469"/>
        <item x="48"/>
        <item x="164"/>
        <item x="300"/>
        <item x="119"/>
        <item x="286"/>
        <item x="185"/>
        <item x="314"/>
        <item x="446"/>
        <item x="113"/>
        <item x="228"/>
        <item x="463"/>
        <item x="278"/>
        <item x="139"/>
        <item x="28"/>
        <item x="328"/>
        <item x="40"/>
        <item x="250"/>
        <item x="60"/>
        <item x="62"/>
        <item x="84"/>
        <item x="166"/>
        <item x="317"/>
        <item x="447"/>
        <item x="304"/>
        <item x="405"/>
        <item x="94"/>
        <item x="207"/>
        <item x="255"/>
        <item x="25"/>
        <item x="329"/>
        <item x="297"/>
        <item x="288"/>
        <item x="21"/>
        <item x="253"/>
        <item x="161"/>
        <item x="116"/>
        <item x="421"/>
        <item x="369"/>
        <item x="313"/>
        <item x="268"/>
        <item x="131"/>
        <item x="234"/>
        <item x="364"/>
        <item x="256"/>
        <item x="474"/>
        <item x="451"/>
        <item x="321"/>
        <item x="410"/>
        <item x="3"/>
        <item x="475"/>
        <item x="478"/>
        <item x="356"/>
        <item x="117"/>
        <item x="416"/>
        <item x="233"/>
        <item x="306"/>
        <item x="49"/>
        <item x="188"/>
        <item x="354"/>
        <item x="437"/>
        <item x="81"/>
        <item x="379"/>
        <item x="194"/>
        <item x="79"/>
        <item x="103"/>
        <item x="22"/>
        <item x="298"/>
        <item x="54"/>
        <item x="490"/>
        <item x="93"/>
        <item x="200"/>
        <item x="137"/>
        <item x="387"/>
        <item x="355"/>
        <item x="290"/>
        <item x="215"/>
        <item x="489"/>
        <item x="23"/>
        <item x="134"/>
        <item x="9"/>
        <item x="202"/>
        <item x="12"/>
        <item x="264"/>
        <item x="82"/>
        <item x="386"/>
        <item x="420"/>
        <item x="294"/>
        <item x="385"/>
        <item x="156"/>
        <item x="114"/>
        <item x="129"/>
        <item x="181"/>
        <item x="326"/>
        <item x="358"/>
        <item x="132"/>
        <item x="151"/>
        <item x="363"/>
        <item x="97"/>
        <item x="393"/>
        <item x="338"/>
        <item x="362"/>
        <item x="395"/>
        <item x="146"/>
        <item x="123"/>
        <item x="318"/>
        <item x="308"/>
        <item x="126"/>
        <item x="392"/>
        <item x="128"/>
        <item x="406"/>
        <item x="209"/>
        <item x="429"/>
        <item x="273"/>
        <item x="96"/>
        <item x="178"/>
        <item x="365"/>
        <item x="312"/>
        <item x="480"/>
        <item x="438"/>
        <item x="34"/>
        <item x="46"/>
        <item x="319"/>
        <item x="69"/>
        <item x="279"/>
        <item x="53"/>
        <item x="339"/>
        <item x="404"/>
        <item x="124"/>
        <item x="381"/>
        <item x="173"/>
        <item x="374"/>
        <item x="225"/>
        <item x="88"/>
        <item x="413"/>
        <item x="8"/>
        <item x="42"/>
        <item x="454"/>
        <item x="450"/>
        <item x="426"/>
        <item x="220"/>
        <item x="343"/>
        <item x="424"/>
        <item x="218"/>
        <item x="283"/>
        <item x="449"/>
        <item x="44"/>
        <item x="195"/>
        <item x="491"/>
        <item x="417"/>
        <item x="281"/>
        <item x="108"/>
        <item x="305"/>
        <item x="76"/>
        <item x="248"/>
        <item x="212"/>
        <item x="208"/>
        <item x="291"/>
        <item x="98"/>
        <item x="197"/>
        <item x="452"/>
        <item x="262"/>
        <item x="17"/>
        <item x="210"/>
        <item x="226"/>
        <item x="37"/>
        <item x="375"/>
        <item x="100"/>
        <item x="492"/>
        <item x="471"/>
        <item x="242"/>
        <item x="9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s>
  <rowFields count="1">
    <field x="3"/>
  </rowFields>
  <rowItems count="6">
    <i>
      <x/>
    </i>
    <i>
      <x v="1"/>
    </i>
    <i>
      <x v="2"/>
    </i>
    <i>
      <x v="3"/>
    </i>
    <i>
      <x v="4"/>
    </i>
    <i t="grand">
      <x/>
    </i>
  </rowItems>
  <colFields count="1">
    <field x="4"/>
  </colFields>
  <colItems count="3">
    <i>
      <x/>
    </i>
    <i>
      <x v="1"/>
    </i>
    <i t="grand">
      <x/>
    </i>
  </colItems>
  <dataFields count="1">
    <dataField name="Count of Employee_ID" fld="1" subtotal="count" baseField="3" baseItem="0"/>
  </dataFields>
  <chartFormats count="8">
    <chartFormat chart="3" format="8" series="1">
      <pivotArea type="data" outline="0" fieldPosition="0">
        <references count="2">
          <reference field="4294967294" count="1" selected="0">
            <x v="0"/>
          </reference>
          <reference field="4" count="1" selected="0">
            <x v="0"/>
          </reference>
        </references>
      </pivotArea>
    </chartFormat>
    <chartFormat chart="3" format="9" series="1">
      <pivotArea type="data" outline="0" fieldPosition="0">
        <references count="2">
          <reference field="4294967294" count="1" selected="0">
            <x v="0"/>
          </reference>
          <reference field="4" count="1" selected="0">
            <x v="1"/>
          </reference>
        </references>
      </pivotArea>
    </chartFormat>
    <chartFormat chart="3" format="10">
      <pivotArea type="data" outline="0" fieldPosition="0">
        <references count="3">
          <reference field="4294967294" count="1" selected="0">
            <x v="0"/>
          </reference>
          <reference field="3" count="1" selected="0">
            <x v="0"/>
          </reference>
          <reference field="4" count="1" selected="0">
            <x v="1"/>
          </reference>
        </references>
      </pivotArea>
    </chartFormat>
    <chartFormat chart="3" format="11">
      <pivotArea type="data" outline="0" fieldPosition="0">
        <references count="3">
          <reference field="4294967294" count="1" selected="0">
            <x v="0"/>
          </reference>
          <reference field="3" count="1" selected="0">
            <x v="3"/>
          </reference>
          <reference field="4" count="1" selected="0">
            <x v="1"/>
          </reference>
        </references>
      </pivotArea>
    </chartFormat>
    <chartFormat chart="12" format="16" series="1">
      <pivotArea type="data" outline="0" fieldPosition="0">
        <references count="2">
          <reference field="4294967294" count="1" selected="0">
            <x v="0"/>
          </reference>
          <reference field="4" count="1" selected="0">
            <x v="0"/>
          </reference>
        </references>
      </pivotArea>
    </chartFormat>
    <chartFormat chart="12" format="17" series="1">
      <pivotArea type="data" outline="0" fieldPosition="0">
        <references count="2">
          <reference field="4294967294" count="1" selected="0">
            <x v="0"/>
          </reference>
          <reference field="4" count="1" selected="0">
            <x v="1"/>
          </reference>
        </references>
      </pivotArea>
    </chartFormat>
    <chartFormat chart="12" format="18">
      <pivotArea type="data" outline="0" fieldPosition="0">
        <references count="3">
          <reference field="4294967294" count="1" selected="0">
            <x v="0"/>
          </reference>
          <reference field="3" count="1" selected="0">
            <x v="0"/>
          </reference>
          <reference field="4" count="1" selected="0">
            <x v="1"/>
          </reference>
        </references>
      </pivotArea>
    </chartFormat>
    <chartFormat chart="12" format="19">
      <pivotArea type="data" outline="0" fieldPosition="0">
        <references count="3">
          <reference field="4294967294" count="1" selected="0">
            <x v="0"/>
          </reference>
          <reference field="3" count="1" selected="0">
            <x v="3"/>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CC3B70-8F4E-4560-A1A4-A330911D77A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6" firstHeaderRow="1" firstDataRow="1" firstDataCol="1"/>
  <pivotFields count="9">
    <pivotField showAll="0"/>
    <pivotField showAll="0">
      <items count="488">
        <item x="103"/>
        <item x="448"/>
        <item x="112"/>
        <item x="366"/>
        <item x="95"/>
        <item x="129"/>
        <item x="200"/>
        <item x="104"/>
        <item x="302"/>
        <item x="169"/>
        <item x="144"/>
        <item x="126"/>
        <item x="131"/>
        <item x="340"/>
        <item x="213"/>
        <item x="44"/>
        <item x="48"/>
        <item x="286"/>
        <item x="226"/>
        <item x="305"/>
        <item x="418"/>
        <item x="151"/>
        <item x="452"/>
        <item x="455"/>
        <item x="38"/>
        <item x="409"/>
        <item x="456"/>
        <item x="475"/>
        <item x="367"/>
        <item x="215"/>
        <item x="295"/>
        <item x="310"/>
        <item x="142"/>
        <item x="292"/>
        <item x="59"/>
        <item x="225"/>
        <item x="397"/>
        <item x="98"/>
        <item x="361"/>
        <item x="154"/>
        <item x="465"/>
        <item x="427"/>
        <item x="134"/>
        <item x="250"/>
        <item x="146"/>
        <item x="117"/>
        <item x="201"/>
        <item x="158"/>
        <item x="125"/>
        <item x="326"/>
        <item x="333"/>
        <item x="457"/>
        <item x="352"/>
        <item x="237"/>
        <item x="46"/>
        <item x="291"/>
        <item x="421"/>
        <item x="190"/>
        <item x="470"/>
        <item x="255"/>
        <item x="386"/>
        <item x="157"/>
        <item x="317"/>
        <item x="259"/>
        <item x="442"/>
        <item x="147"/>
        <item x="195"/>
        <item x="478"/>
        <item x="334"/>
        <item x="167"/>
        <item x="63"/>
        <item x="371"/>
        <item x="301"/>
        <item x="161"/>
        <item x="139"/>
        <item x="336"/>
        <item x="354"/>
        <item x="253"/>
        <item x="24"/>
        <item x="306"/>
        <item x="263"/>
        <item x="132"/>
        <item x="119"/>
        <item x="375"/>
        <item x="55"/>
        <item x="143"/>
        <item x="368"/>
        <item x="221"/>
        <item x="308"/>
        <item x="434"/>
        <item x="454"/>
        <item x="414"/>
        <item x="416"/>
        <item x="217"/>
        <item x="219"/>
        <item x="228"/>
        <item x="3"/>
        <item x="148"/>
        <item x="47"/>
        <item x="54"/>
        <item x="372"/>
        <item x="393"/>
        <item x="210"/>
        <item x="208"/>
        <item x="82"/>
        <item x="192"/>
        <item x="329"/>
        <item x="387"/>
        <item x="370"/>
        <item x="197"/>
        <item x="198"/>
        <item x="25"/>
        <item x="337"/>
        <item x="171"/>
        <item x="88"/>
        <item x="53"/>
        <item x="303"/>
        <item x="264"/>
        <item x="68"/>
        <item x="235"/>
        <item x="419"/>
        <item x="392"/>
        <item x="100"/>
        <item x="214"/>
        <item x="436"/>
        <item x="41"/>
        <item x="153"/>
        <item x="90"/>
        <item x="130"/>
        <item x="106"/>
        <item x="435"/>
        <item x="240"/>
        <item x="355"/>
        <item x="252"/>
        <item x="287"/>
        <item x="70"/>
        <item x="318"/>
        <item x="30"/>
        <item x="461"/>
        <item x="428"/>
        <item x="140"/>
        <item x="319"/>
        <item x="79"/>
        <item x="468"/>
        <item x="29"/>
        <item x="247"/>
        <item x="279"/>
        <item x="175"/>
        <item x="31"/>
        <item x="43"/>
        <item x="408"/>
        <item x="115"/>
        <item x="164"/>
        <item x="124"/>
        <item x="481"/>
        <item x="21"/>
        <item x="39"/>
        <item x="249"/>
        <item x="150"/>
        <item x="35"/>
        <item x="173"/>
        <item x="99"/>
        <item x="268"/>
        <item x="389"/>
        <item x="327"/>
        <item x="467"/>
        <item x="180"/>
        <item x="227"/>
        <item x="89"/>
        <item x="172"/>
        <item x="224"/>
        <item x="348"/>
        <item x="187"/>
        <item x="19"/>
        <item x="49"/>
        <item x="294"/>
        <item x="203"/>
        <item x="152"/>
        <item x="12"/>
        <item x="92"/>
        <item x="351"/>
        <item x="96"/>
        <item x="404"/>
        <item x="464"/>
        <item x="358"/>
        <item x="378"/>
        <item x="388"/>
        <item x="133"/>
        <item x="400"/>
        <item x="277"/>
        <item x="424"/>
        <item x="407"/>
        <item x="269"/>
        <item x="118"/>
        <item x="258"/>
        <item x="373"/>
        <item x="244"/>
        <item x="23"/>
        <item x="458"/>
        <item x="83"/>
        <item x="156"/>
        <item x="66"/>
        <item x="60"/>
        <item x="437"/>
        <item x="241"/>
        <item x="135"/>
        <item x="353"/>
        <item x="232"/>
        <item x="102"/>
        <item x="383"/>
        <item x="185"/>
        <item x="283"/>
        <item x="425"/>
        <item x="181"/>
        <item x="431"/>
        <item x="58"/>
        <item x="332"/>
        <item x="120"/>
        <item x="449"/>
        <item x="145"/>
        <item x="242"/>
        <item x="402"/>
        <item x="314"/>
        <item x="93"/>
        <item x="254"/>
        <item x="110"/>
        <item x="216"/>
        <item x="65"/>
        <item x="27"/>
        <item x="364"/>
        <item x="165"/>
        <item x="77"/>
        <item x="155"/>
        <item x="469"/>
        <item x="251"/>
        <item x="476"/>
        <item x="76"/>
        <item x="307"/>
        <item x="163"/>
        <item x="212"/>
        <item x="377"/>
        <item x="122"/>
        <item x="466"/>
        <item x="170"/>
        <item x="64"/>
        <item x="472"/>
        <item x="114"/>
        <item x="273"/>
        <item x="479"/>
        <item x="484"/>
        <item x="56"/>
        <item x="290"/>
        <item x="471"/>
        <item x="328"/>
        <item x="443"/>
        <item x="177"/>
        <item x="300"/>
        <item x="194"/>
        <item x="223"/>
        <item x="248"/>
        <item x="444"/>
        <item x="176"/>
        <item x="324"/>
        <item x="137"/>
        <item x="230"/>
        <item x="280"/>
        <item x="229"/>
        <item x="80"/>
        <item x="323"/>
        <item x="6"/>
        <item x="341"/>
        <item x="422"/>
        <item x="266"/>
        <item x="399"/>
        <item x="278"/>
        <item x="412"/>
        <item x="374"/>
        <item x="7"/>
        <item x="459"/>
        <item x="410"/>
        <item x="113"/>
        <item x="81"/>
        <item x="275"/>
        <item x="381"/>
        <item x="380"/>
        <item x="204"/>
        <item x="347"/>
        <item x="211"/>
        <item x="363"/>
        <item x="67"/>
        <item x="430"/>
        <item x="480"/>
        <item x="321"/>
        <item x="78"/>
        <item x="338"/>
        <item x="438"/>
        <item x="218"/>
        <item x="313"/>
        <item x="297"/>
        <item x="311"/>
        <item x="293"/>
        <item x="109"/>
        <item x="362"/>
        <item x="202"/>
        <item x="62"/>
        <item x="10"/>
        <item x="398"/>
        <item x="18"/>
        <item x="205"/>
        <item x="101"/>
        <item x="288"/>
        <item x="116"/>
        <item x="405"/>
        <item x="243"/>
        <item x="26"/>
        <item x="33"/>
        <item x="346"/>
        <item x="257"/>
        <item x="74"/>
        <item x="298"/>
        <item x="440"/>
        <item x="40"/>
        <item x="365"/>
        <item x="316"/>
        <item x="207"/>
        <item x="335"/>
        <item x="281"/>
        <item x="270"/>
        <item x="73"/>
        <item x="441"/>
        <item x="160"/>
        <item x="15"/>
        <item x="75"/>
        <item x="376"/>
        <item x="473"/>
        <item x="72"/>
        <item x="415"/>
        <item x="9"/>
        <item x="315"/>
        <item x="299"/>
        <item x="136"/>
        <item x="369"/>
        <item x="186"/>
        <item x="272"/>
        <item x="343"/>
        <item x="236"/>
        <item x="360"/>
        <item x="94"/>
        <item x="312"/>
        <item x="182"/>
        <item x="420"/>
        <item x="385"/>
        <item x="11"/>
        <item x="8"/>
        <item x="446"/>
        <item x="123"/>
        <item x="485"/>
        <item x="45"/>
        <item x="462"/>
        <item x="199"/>
        <item x="57"/>
        <item x="265"/>
        <item x="2"/>
        <item x="184"/>
        <item x="359"/>
        <item x="357"/>
        <item x="486"/>
        <item x="222"/>
        <item x="188"/>
        <item x="423"/>
        <item x="141"/>
        <item x="474"/>
        <item x="391"/>
        <item x="20"/>
        <item x="309"/>
        <item x="345"/>
        <item x="105"/>
        <item x="51"/>
        <item x="174"/>
        <item x="162"/>
        <item x="121"/>
        <item x="403"/>
        <item x="451"/>
        <item x="166"/>
        <item x="138"/>
        <item x="349"/>
        <item x="1"/>
        <item x="330"/>
        <item x="107"/>
        <item x="87"/>
        <item x="450"/>
        <item x="379"/>
        <item x="149"/>
        <item x="447"/>
        <item x="304"/>
        <item x="396"/>
        <item x="71"/>
        <item x="477"/>
        <item x="36"/>
        <item x="413"/>
        <item x="350"/>
        <item x="482"/>
        <item x="86"/>
        <item x="5"/>
        <item x="433"/>
        <item x="4"/>
        <item x="344"/>
        <item x="256"/>
        <item x="382"/>
        <item x="127"/>
        <item x="460"/>
        <item x="274"/>
        <item x="34"/>
        <item x="432"/>
        <item x="209"/>
        <item x="285"/>
        <item x="417"/>
        <item x="445"/>
        <item x="50"/>
        <item x="0"/>
        <item x="342"/>
        <item x="168"/>
        <item x="296"/>
        <item x="246"/>
        <item x="262"/>
        <item x="183"/>
        <item x="356"/>
        <item x="97"/>
        <item x="339"/>
        <item x="196"/>
        <item x="282"/>
        <item x="384"/>
        <item x="22"/>
        <item x="271"/>
        <item x="245"/>
        <item x="394"/>
        <item x="234"/>
        <item x="111"/>
        <item x="108"/>
        <item x="325"/>
        <item x="193"/>
        <item x="14"/>
        <item x="320"/>
        <item x="463"/>
        <item x="85"/>
        <item x="260"/>
        <item x="406"/>
        <item x="128"/>
        <item x="284"/>
        <item x="42"/>
        <item x="390"/>
        <item x="238"/>
        <item x="91"/>
        <item x="453"/>
        <item x="220"/>
        <item x="231"/>
        <item x="289"/>
        <item x="267"/>
        <item x="331"/>
        <item x="28"/>
        <item x="37"/>
        <item x="159"/>
        <item x="239"/>
        <item x="32"/>
        <item x="178"/>
        <item x="206"/>
        <item x="261"/>
        <item x="439"/>
        <item x="17"/>
        <item x="191"/>
        <item x="322"/>
        <item x="84"/>
        <item x="13"/>
        <item x="483"/>
        <item x="69"/>
        <item x="233"/>
        <item x="276"/>
        <item x="52"/>
        <item x="426"/>
        <item x="61"/>
        <item x="16"/>
        <item x="411"/>
        <item x="401"/>
        <item x="429"/>
        <item x="179"/>
        <item x="395"/>
        <item x="189"/>
        <item t="default"/>
      </items>
    </pivotField>
    <pivotField showAll="0"/>
    <pivotField showAll="0"/>
    <pivotField showAll="0"/>
    <pivotField axis="axisRow" showAll="0">
      <items count="3">
        <item x="0"/>
        <item x="1"/>
        <item t="default"/>
      </items>
    </pivotField>
    <pivotField numFmtId="14" showAll="0"/>
    <pivotField showAll="0"/>
    <pivotField dataField="1" showAll="0"/>
  </pivotFields>
  <rowFields count="1">
    <field x="5"/>
  </rowFields>
  <rowItems count="3">
    <i>
      <x/>
    </i>
    <i>
      <x v="1"/>
    </i>
    <i t="grand">
      <x/>
    </i>
  </rowItems>
  <colItems count="1">
    <i/>
  </colItems>
  <dataFields count="1">
    <dataField name="Average of Salary" fld="8" subtotal="average" baseField="0" baseItem="0"/>
  </dataFields>
  <formats count="1">
    <format dxfId="0">
      <pivotArea collapsedLevelsAreSubtotals="1" fieldPosition="0">
        <references count="1">
          <reference field="5" count="0"/>
        </references>
      </pivotArea>
    </format>
  </formats>
  <chartFormats count="2">
    <chartFormat chart="0"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746458-8806-4BFA-A554-3B49FE9B2C7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60" firstHeaderRow="1" firstDataRow="1" firstDataCol="1"/>
  <pivotFields count="11">
    <pivotField showAll="0"/>
    <pivotField dataField="1" showAll="0"/>
    <pivotField showAll="0"/>
    <pivotField showAll="0">
      <items count="6">
        <item x="0"/>
        <item x="3"/>
        <item x="4"/>
        <item x="2"/>
        <item x="1"/>
        <item t="default"/>
      </items>
    </pivotField>
    <pivotField showAll="0"/>
    <pivotField numFmtId="14" showAll="0">
      <items count="496">
        <item x="493"/>
        <item x="236"/>
        <item x="284"/>
        <item x="302"/>
        <item x="293"/>
        <item x="261"/>
        <item x="337"/>
        <item x="266"/>
        <item x="77"/>
        <item x="465"/>
        <item x="150"/>
        <item x="431"/>
        <item x="479"/>
        <item x="190"/>
        <item x="36"/>
        <item x="269"/>
        <item x="27"/>
        <item x="360"/>
        <item x="165"/>
        <item x="440"/>
        <item x="231"/>
        <item x="235"/>
        <item x="433"/>
        <item x="35"/>
        <item x="488"/>
        <item x="182"/>
        <item x="309"/>
        <item x="435"/>
        <item x="476"/>
        <item x="20"/>
        <item x="201"/>
        <item x="349"/>
        <item x="159"/>
        <item x="453"/>
        <item x="391"/>
        <item x="272"/>
        <item x="43"/>
        <item x="10"/>
        <item x="470"/>
        <item x="56"/>
        <item x="484"/>
        <item x="70"/>
        <item x="473"/>
        <item x="186"/>
        <item x="80"/>
        <item x="303"/>
        <item x="238"/>
        <item x="50"/>
        <item x="409"/>
        <item x="158"/>
        <item x="254"/>
        <item x="105"/>
        <item x="140"/>
        <item x="352"/>
        <item x="486"/>
        <item x="31"/>
        <item x="63"/>
        <item x="66"/>
        <item x="373"/>
        <item x="399"/>
        <item x="83"/>
        <item x="221"/>
        <item x="33"/>
        <item x="4"/>
        <item x="59"/>
        <item x="466"/>
        <item x="205"/>
        <item x="398"/>
        <item x="206"/>
        <item x="39"/>
        <item x="388"/>
        <item x="155"/>
        <item x="163"/>
        <item x="224"/>
        <item x="468"/>
        <item x="380"/>
        <item x="428"/>
        <item x="217"/>
        <item x="149"/>
        <item x="110"/>
        <item x="118"/>
        <item x="259"/>
        <item x="427"/>
        <item x="239"/>
        <item x="125"/>
        <item x="292"/>
        <item x="411"/>
        <item x="222"/>
        <item x="1"/>
        <item x="78"/>
        <item x="384"/>
        <item x="29"/>
        <item x="296"/>
        <item x="320"/>
        <item x="232"/>
        <item x="407"/>
        <item x="213"/>
        <item x="299"/>
        <item x="196"/>
        <item x="237"/>
        <item x="342"/>
        <item x="187"/>
        <item x="176"/>
        <item x="322"/>
        <item x="6"/>
        <item x="193"/>
        <item x="91"/>
        <item x="45"/>
        <item x="162"/>
        <item x="5"/>
        <item x="436"/>
        <item x="459"/>
        <item x="15"/>
        <item x="169"/>
        <item x="247"/>
        <item x="412"/>
        <item x="135"/>
        <item x="389"/>
        <item x="75"/>
        <item x="271"/>
        <item x="168"/>
        <item x="199"/>
        <item x="136"/>
        <item x="419"/>
        <item x="7"/>
        <item x="315"/>
        <item x="347"/>
        <item x="341"/>
        <item x="153"/>
        <item x="455"/>
        <item x="311"/>
        <item x="102"/>
        <item x="263"/>
        <item x="13"/>
        <item x="127"/>
        <item x="147"/>
        <item x="112"/>
        <item x="397"/>
        <item x="24"/>
        <item x="333"/>
        <item x="120"/>
        <item x="244"/>
        <item x="111"/>
        <item x="101"/>
        <item x="464"/>
        <item x="432"/>
        <item x="350"/>
        <item x="485"/>
        <item x="351"/>
        <item x="401"/>
        <item x="472"/>
        <item x="394"/>
        <item x="106"/>
        <item x="425"/>
        <item x="462"/>
        <item x="58"/>
        <item x="481"/>
        <item x="442"/>
        <item x="52"/>
        <item x="275"/>
        <item x="229"/>
        <item x="458"/>
        <item x="390"/>
        <item x="494"/>
        <item x="180"/>
        <item x="38"/>
        <item x="368"/>
        <item x="334"/>
        <item x="258"/>
        <item x="276"/>
        <item x="171"/>
        <item x="133"/>
        <item x="89"/>
        <item x="370"/>
        <item x="198"/>
        <item x="324"/>
        <item x="57"/>
        <item x="287"/>
        <item x="378"/>
        <item x="138"/>
        <item x="336"/>
        <item x="174"/>
        <item x="461"/>
        <item x="260"/>
        <item x="257"/>
        <item x="104"/>
        <item x="71"/>
        <item x="11"/>
        <item x="243"/>
        <item x="145"/>
        <item x="204"/>
        <item x="383"/>
        <item x="192"/>
        <item x="72"/>
        <item x="160"/>
        <item x="189"/>
        <item x="267"/>
        <item x="323"/>
        <item x="73"/>
        <item x="19"/>
        <item x="361"/>
        <item x="274"/>
        <item x="408"/>
        <item x="434"/>
        <item x="487"/>
        <item x="265"/>
        <item x="183"/>
        <item x="246"/>
        <item x="418"/>
        <item x="367"/>
        <item x="0"/>
        <item x="316"/>
        <item x="301"/>
        <item x="32"/>
        <item x="41"/>
        <item x="477"/>
        <item x="51"/>
        <item x="184"/>
        <item x="372"/>
        <item x="172"/>
        <item x="456"/>
        <item x="344"/>
        <item x="345"/>
        <item x="26"/>
        <item x="353"/>
        <item x="85"/>
        <item x="357"/>
        <item x="251"/>
        <item x="227"/>
        <item x="109"/>
        <item x="441"/>
        <item x="68"/>
        <item x="230"/>
        <item x="74"/>
        <item x="154"/>
        <item x="86"/>
        <item x="327"/>
        <item x="170"/>
        <item x="107"/>
        <item x="443"/>
        <item x="331"/>
        <item x="143"/>
        <item x="295"/>
        <item x="371"/>
        <item x="310"/>
        <item x="167"/>
        <item x="423"/>
        <item x="457"/>
        <item x="359"/>
        <item x="2"/>
        <item x="285"/>
        <item x="216"/>
        <item x="280"/>
        <item x="346"/>
        <item x="211"/>
        <item x="340"/>
        <item x="289"/>
        <item x="430"/>
        <item x="415"/>
        <item x="47"/>
        <item x="148"/>
        <item x="65"/>
        <item x="382"/>
        <item x="335"/>
        <item x="460"/>
        <item x="439"/>
        <item x="332"/>
        <item x="377"/>
        <item x="16"/>
        <item x="482"/>
        <item x="241"/>
        <item x="144"/>
        <item x="277"/>
        <item x="483"/>
        <item x="403"/>
        <item x="18"/>
        <item x="67"/>
        <item x="179"/>
        <item x="115"/>
        <item x="325"/>
        <item x="157"/>
        <item x="252"/>
        <item x="467"/>
        <item x="402"/>
        <item x="141"/>
        <item x="55"/>
        <item x="219"/>
        <item x="414"/>
        <item x="130"/>
        <item x="376"/>
        <item x="444"/>
        <item x="396"/>
        <item x="95"/>
        <item x="175"/>
        <item x="330"/>
        <item x="400"/>
        <item x="87"/>
        <item x="282"/>
        <item x="445"/>
        <item x="61"/>
        <item x="30"/>
        <item x="14"/>
        <item x="214"/>
        <item x="245"/>
        <item x="177"/>
        <item x="152"/>
        <item x="307"/>
        <item x="270"/>
        <item x="203"/>
        <item x="64"/>
        <item x="99"/>
        <item x="348"/>
        <item x="191"/>
        <item x="249"/>
        <item x="366"/>
        <item x="422"/>
        <item x="92"/>
        <item x="142"/>
        <item x="122"/>
        <item x="121"/>
        <item x="240"/>
        <item x="223"/>
        <item x="448"/>
        <item x="469"/>
        <item x="48"/>
        <item x="164"/>
        <item x="300"/>
        <item x="119"/>
        <item x="286"/>
        <item x="185"/>
        <item x="314"/>
        <item x="446"/>
        <item x="113"/>
        <item x="228"/>
        <item x="463"/>
        <item x="278"/>
        <item x="139"/>
        <item x="28"/>
        <item x="328"/>
        <item x="40"/>
        <item x="250"/>
        <item x="60"/>
        <item x="62"/>
        <item x="84"/>
        <item x="166"/>
        <item x="317"/>
        <item x="447"/>
        <item x="304"/>
        <item x="405"/>
        <item x="94"/>
        <item x="207"/>
        <item x="255"/>
        <item x="25"/>
        <item x="329"/>
        <item x="297"/>
        <item x="288"/>
        <item x="21"/>
        <item x="253"/>
        <item x="161"/>
        <item x="116"/>
        <item x="421"/>
        <item x="369"/>
        <item x="313"/>
        <item x="268"/>
        <item x="131"/>
        <item x="234"/>
        <item x="364"/>
        <item x="256"/>
        <item x="474"/>
        <item x="451"/>
        <item x="321"/>
        <item x="410"/>
        <item x="3"/>
        <item x="475"/>
        <item x="478"/>
        <item x="356"/>
        <item x="117"/>
        <item x="416"/>
        <item x="233"/>
        <item x="306"/>
        <item x="49"/>
        <item x="188"/>
        <item x="354"/>
        <item x="437"/>
        <item x="81"/>
        <item x="379"/>
        <item x="194"/>
        <item x="79"/>
        <item x="103"/>
        <item x="22"/>
        <item x="298"/>
        <item x="54"/>
        <item x="490"/>
        <item x="93"/>
        <item x="200"/>
        <item x="137"/>
        <item x="387"/>
        <item x="355"/>
        <item x="290"/>
        <item x="215"/>
        <item x="489"/>
        <item x="23"/>
        <item x="134"/>
        <item x="9"/>
        <item x="202"/>
        <item x="12"/>
        <item x="264"/>
        <item x="82"/>
        <item x="386"/>
        <item x="420"/>
        <item x="294"/>
        <item x="385"/>
        <item x="156"/>
        <item x="114"/>
        <item x="129"/>
        <item x="181"/>
        <item x="326"/>
        <item x="358"/>
        <item x="132"/>
        <item x="151"/>
        <item x="363"/>
        <item x="97"/>
        <item x="393"/>
        <item x="338"/>
        <item x="362"/>
        <item x="395"/>
        <item x="146"/>
        <item x="123"/>
        <item x="318"/>
        <item x="308"/>
        <item x="126"/>
        <item x="392"/>
        <item x="128"/>
        <item x="406"/>
        <item x="209"/>
        <item x="429"/>
        <item x="273"/>
        <item x="96"/>
        <item x="178"/>
        <item x="365"/>
        <item x="312"/>
        <item x="480"/>
        <item x="438"/>
        <item x="34"/>
        <item x="46"/>
        <item x="319"/>
        <item x="69"/>
        <item x="279"/>
        <item x="53"/>
        <item x="339"/>
        <item x="404"/>
        <item x="124"/>
        <item x="381"/>
        <item x="173"/>
        <item x="374"/>
        <item x="225"/>
        <item x="88"/>
        <item x="413"/>
        <item x="8"/>
        <item x="42"/>
        <item x="454"/>
        <item x="450"/>
        <item x="426"/>
        <item x="220"/>
        <item x="343"/>
        <item x="424"/>
        <item x="218"/>
        <item x="283"/>
        <item x="449"/>
        <item x="44"/>
        <item x="195"/>
        <item x="491"/>
        <item x="417"/>
        <item x="281"/>
        <item x="108"/>
        <item x="305"/>
        <item x="76"/>
        <item x="248"/>
        <item x="212"/>
        <item x="208"/>
        <item x="291"/>
        <item x="98"/>
        <item x="197"/>
        <item x="452"/>
        <item x="262"/>
        <item x="17"/>
        <item x="210"/>
        <item x="226"/>
        <item x="37"/>
        <item x="375"/>
        <item x="100"/>
        <item x="492"/>
        <item x="471"/>
        <item x="242"/>
        <item x="90"/>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t="default"/>
      </items>
    </pivotField>
  </pivotFields>
  <rowFields count="1">
    <field x="10"/>
  </rowFields>
  <rowItems count="57">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t="grand">
      <x/>
    </i>
  </rowItems>
  <colItems count="1">
    <i/>
  </colItems>
  <dataFields count="1">
    <dataField name="Count of Employee_ID" fld="1"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53519C-533C-46F1-9DAD-CDE5BB1C1789}" name="PivotTable18"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A3:B9" firstHeaderRow="1" firstDataRow="1" firstDataCol="1"/>
  <pivotFields count="2">
    <pivotField axis="axisRow" allDrilled="1" subtotalTop="0" showAll="0" defaultSubtotal="0" defaultAttributeDrillState="1">
      <items count="5">
        <item x="0"/>
        <item x="4"/>
        <item x="2"/>
        <item x="1"/>
        <item x="3"/>
      </items>
    </pivotField>
    <pivotField dataField="1" subtotalTop="0" showAll="0" defaultSubtotal="0"/>
  </pivotFields>
  <rowFields count="1">
    <field x="0"/>
  </rowFields>
  <rowItems count="6">
    <i>
      <x/>
    </i>
    <i>
      <x v="1"/>
    </i>
    <i>
      <x v="2"/>
    </i>
    <i>
      <x v="3"/>
    </i>
    <i>
      <x v="4"/>
    </i>
    <i t="grand">
      <x/>
    </i>
  </rowItems>
  <colItems count="1">
    <i/>
  </colItems>
  <dataFields count="1">
    <dataField name="Count of Employee_ID" fld="1" subtotal="count" baseField="0" baseItem="0"/>
  </dataFields>
  <chartFormats count="2">
    <chartFormat chart="6"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Hierarchies count="19">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ata^.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0FEF9CB-5825-4078-8637-12E2BE018C13}"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8" firstHeaderRow="1" firstDataRow="1" firstDataCol="1"/>
  <pivotFields count="9">
    <pivotField showAll="0"/>
    <pivotField dataField="1" showAll="0"/>
    <pivotField showAll="0"/>
    <pivotField axis="axisRow" showAll="0">
      <items count="5">
        <item x="1"/>
        <item x="2"/>
        <item x="3"/>
        <item x="0"/>
        <item t="default"/>
      </items>
    </pivotField>
    <pivotField showAll="0"/>
    <pivotField showAll="0"/>
    <pivotField numFmtId="14" showAll="0"/>
    <pivotField showAll="0"/>
    <pivotField showAll="0"/>
  </pivotFields>
  <rowFields count="1">
    <field x="3"/>
  </rowFields>
  <rowItems count="5">
    <i>
      <x/>
    </i>
    <i>
      <x v="1"/>
    </i>
    <i>
      <x v="2"/>
    </i>
    <i>
      <x v="3"/>
    </i>
    <i t="grand">
      <x/>
    </i>
  </rowItems>
  <colItems count="1">
    <i/>
  </colItems>
  <dataFields count="1">
    <dataField name="Count of Employee_ID" fld="1"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3"/>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0" format="3">
      <pivotArea type="data" outline="0" fieldPosition="0">
        <references count="2">
          <reference field="4294967294" count="1" selected="0">
            <x v="0"/>
          </reference>
          <reference field="3" count="1" selected="0">
            <x v="1"/>
          </reference>
        </references>
      </pivotArea>
    </chartFormat>
    <chartFormat chart="0" format="4">
      <pivotArea type="data" outline="0" fieldPosition="0">
        <references count="2">
          <reference field="4294967294" count="1" selected="0">
            <x v="0"/>
          </reference>
          <reference field="3" count="1" selected="0">
            <x v="2"/>
          </reference>
        </references>
      </pivotArea>
    </chartFormat>
    <chartFormat chart="12" format="10" series="1">
      <pivotArea type="data" outline="0" fieldPosition="0">
        <references count="1">
          <reference field="4294967294" count="1" selected="0">
            <x v="0"/>
          </reference>
        </references>
      </pivotArea>
    </chartFormat>
    <chartFormat chart="12" format="11">
      <pivotArea type="data" outline="0" fieldPosition="0">
        <references count="2">
          <reference field="4294967294" count="1" selected="0">
            <x v="0"/>
          </reference>
          <reference field="3" count="1" selected="0">
            <x v="0"/>
          </reference>
        </references>
      </pivotArea>
    </chartFormat>
    <chartFormat chart="12" format="12">
      <pivotArea type="data" outline="0" fieldPosition="0">
        <references count="2">
          <reference field="4294967294" count="1" selected="0">
            <x v="0"/>
          </reference>
          <reference field="3" count="1" selected="0">
            <x v="1"/>
          </reference>
        </references>
      </pivotArea>
    </chartFormat>
    <chartFormat chart="12" format="13">
      <pivotArea type="data" outline="0" fieldPosition="0">
        <references count="2">
          <reference field="4294967294" count="1" selected="0">
            <x v="0"/>
          </reference>
          <reference field="3" count="1" selected="0">
            <x v="2"/>
          </reference>
        </references>
      </pivotArea>
    </chartFormat>
    <chartFormat chart="12"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26755D0-2E05-405D-9A6C-CAD802644CA3}" name="PivotTable21"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9">
  <location ref="A3:F10" firstHeaderRow="1" firstDataRow="2" firstDataCol="1"/>
  <pivotFields count="3">
    <pivotField axis="axisCol" allDrilled="1" subtotalTop="0" showAll="0" defaultSubtotal="0" defaultAttributeDrillState="1">
      <items count="4">
        <item x="3"/>
        <item x="0"/>
        <item x="1"/>
        <item x="2"/>
      </items>
    </pivotField>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2"/>
  </rowFields>
  <rowItems count="6">
    <i>
      <x/>
    </i>
    <i>
      <x v="1"/>
    </i>
    <i>
      <x v="2"/>
    </i>
    <i>
      <x v="3"/>
    </i>
    <i>
      <x v="4"/>
    </i>
    <i t="grand">
      <x/>
    </i>
  </rowItems>
  <colFields count="1">
    <field x="0"/>
  </colFields>
  <colItems count="5">
    <i>
      <x/>
    </i>
    <i>
      <x v="1"/>
    </i>
    <i>
      <x v="2"/>
    </i>
    <i>
      <x v="3"/>
    </i>
    <i t="grand">
      <x/>
    </i>
  </colItems>
  <dataFields count="1">
    <dataField name="Count of Employee_ID" fld="1" subtotal="count" baseField="0" baseItem="0"/>
  </dataFields>
  <chartFormats count="12">
    <chartFormat chart="21" format="4" series="1">
      <pivotArea type="data" outline="0" fieldPosition="0">
        <references count="2">
          <reference field="4294967294" count="1" selected="0">
            <x v="0"/>
          </reference>
          <reference field="0" count="1" selected="0">
            <x v="0"/>
          </reference>
        </references>
      </pivotArea>
    </chartFormat>
    <chartFormat chart="21" format="5" series="1">
      <pivotArea type="data" outline="0" fieldPosition="0">
        <references count="2">
          <reference field="4294967294" count="1" selected="0">
            <x v="0"/>
          </reference>
          <reference field="0" count="1" selected="0">
            <x v="1"/>
          </reference>
        </references>
      </pivotArea>
    </chartFormat>
    <chartFormat chart="21" format="6" series="1">
      <pivotArea type="data" outline="0" fieldPosition="0">
        <references count="2">
          <reference field="4294967294" count="1" selected="0">
            <x v="0"/>
          </reference>
          <reference field="0" count="1" selected="0">
            <x v="2"/>
          </reference>
        </references>
      </pivotArea>
    </chartFormat>
    <chartFormat chart="21" format="7" series="1">
      <pivotArea type="data" outline="0" fieldPosition="0">
        <references count="2">
          <reference field="4294967294" count="1" selected="0">
            <x v="0"/>
          </reference>
          <reference field="0" count="1" selected="0">
            <x v="3"/>
          </reference>
        </references>
      </pivotArea>
    </chartFormat>
    <chartFormat chart="22" format="8" series="1">
      <pivotArea type="data" outline="0" fieldPosition="0">
        <references count="2">
          <reference field="4294967294" count="1" selected="0">
            <x v="0"/>
          </reference>
          <reference field="0" count="1" selected="0">
            <x v="0"/>
          </reference>
        </references>
      </pivotArea>
    </chartFormat>
    <chartFormat chart="22" format="9" series="1">
      <pivotArea type="data" outline="0" fieldPosition="0">
        <references count="2">
          <reference field="4294967294" count="1" selected="0">
            <x v="0"/>
          </reference>
          <reference field="0" count="1" selected="0">
            <x v="1"/>
          </reference>
        </references>
      </pivotArea>
    </chartFormat>
    <chartFormat chart="22" format="10" series="1">
      <pivotArea type="data" outline="0" fieldPosition="0">
        <references count="2">
          <reference field="4294967294" count="1" selected="0">
            <x v="0"/>
          </reference>
          <reference field="0" count="1" selected="0">
            <x v="2"/>
          </reference>
        </references>
      </pivotArea>
    </chartFormat>
    <chartFormat chart="22" format="11" series="1">
      <pivotArea type="data" outline="0" fieldPosition="0">
        <references count="2">
          <reference field="4294967294" count="1" selected="0">
            <x v="0"/>
          </reference>
          <reference field="0" count="1" selected="0">
            <x v="3"/>
          </reference>
        </references>
      </pivotArea>
    </chartFormat>
    <chartFormat chart="27" format="16" series="1">
      <pivotArea type="data" outline="0" fieldPosition="0">
        <references count="2">
          <reference field="4294967294" count="1" selected="0">
            <x v="0"/>
          </reference>
          <reference field="0" count="1" selected="0">
            <x v="0"/>
          </reference>
        </references>
      </pivotArea>
    </chartFormat>
    <chartFormat chart="27" format="17" series="1">
      <pivotArea type="data" outline="0" fieldPosition="0">
        <references count="2">
          <reference field="4294967294" count="1" selected="0">
            <x v="0"/>
          </reference>
          <reference field="0" count="1" selected="0">
            <x v="1"/>
          </reference>
        </references>
      </pivotArea>
    </chartFormat>
    <chartFormat chart="27" format="18" series="1">
      <pivotArea type="data" outline="0" fieldPosition="0">
        <references count="2">
          <reference field="4294967294" count="1" selected="0">
            <x v="0"/>
          </reference>
          <reference field="0" count="1" selected="0">
            <x v="2"/>
          </reference>
        </references>
      </pivotArea>
    </chartFormat>
    <chartFormat chart="27" format="19" series="1">
      <pivotArea type="data" outline="0" fieldPosition="0">
        <references count="2">
          <reference field="4294967294" count="1" selected="0">
            <x v="0"/>
          </reference>
          <reference field="0" count="1" selected="0">
            <x v="3"/>
          </reference>
        </references>
      </pivotArea>
    </chartFormat>
  </chartFormats>
  <pivotHierarchies count="19">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Employee_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ata^.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B49BA25E-B7D2-41CC-8D72-FF8C41AD8A6D}" sourceName="Department">
  <pivotTables>
    <pivotTable tabId="8" name="PivotTable2"/>
    <pivotTable tabId="3" name="PivotTable1"/>
    <pivotTable tabId="9" name="PivotTable3"/>
  </pivotTables>
  <data>
    <tabular pivotCacheId="823712861">
      <items count="5">
        <i x="0" s="1"/>
        <i x="3" s="1"/>
        <i x="4"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1C3DA992-491C-4DD1-BB98-B8C97E5B36ED}" cache="Slicer_Department1" caption="Department" style="SlicerStyleOther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7C67E07-A211-4527-ACD4-4D402DAA71EF}" name="Table4" displayName="Table4" ref="A1:K501" totalsRowShown="0">
  <autoFilter ref="A1:K501" xr:uid="{17C67E07-A211-4527-ACD4-4D402DAA71EF}"/>
  <tableColumns count="11">
    <tableColumn id="1" xr3:uid="{2E92242F-49B3-4DCD-BE8F-991E151C642C}" name="Index"/>
    <tableColumn id="2" xr3:uid="{306D11E1-C282-40E9-922B-0D95257A7C83}" name="Employee_ID"/>
    <tableColumn id="3" xr3:uid="{043FDD33-E146-4E4A-BFC0-722898DDDED4}" name="Age"/>
    <tableColumn id="4" xr3:uid="{8FD32EA8-EED4-4CCD-A556-7F3508A2A772}" name="Age  group" dataDxfId="56">
      <calculatedColumnFormula array="1">_xlfn.IFS(C2&lt;30, "20-29",C2&lt;40, "30-39",C2&lt;50, "40-49",C2&lt;60, "50-59",Table4[[#This Row],[Age]]&gt;=60, "60+"  )</calculatedColumnFormula>
    </tableColumn>
    <tableColumn id="5" xr3:uid="{3CB17332-70D4-460B-8F3C-C0E82C402017}" name="Department"/>
    <tableColumn id="6" xr3:uid="{61115FAC-15CD-4DE9-941F-43C405D5DAC3}" name="Is_Manager"/>
    <tableColumn id="7" xr3:uid="{248E25F5-6D14-464C-A279-3F13F539EF2D}" name="Join_Date" dataDxfId="55"/>
    <tableColumn id="8" xr3:uid="{39B72BDD-EBC7-4E37-BAB7-264456744421}" name="Experience"/>
    <tableColumn id="11" xr3:uid="{53A89864-7120-4C8D-BACF-9C0016CA4D60}" name="Experience group" dataDxfId="54">
      <calculatedColumnFormula array="1">_xlfn.IFS(Table4[[#This Row],[Experience]]&lt;15, "7-15 YEARS",Table4[[#This Row],[Experience]]&lt;23, "15-23  YEARS",Table4[[#This Row],[Experience]]&lt;30, "23-30 YEARS",Table4[[#This Row],[Experience]]&gt;=30, "30+ YEARS")</calculatedColumnFormula>
    </tableColumn>
    <tableColumn id="9" xr3:uid="{15F92731-C5BB-4A48-8E61-54C7AB7B1790}" name="Salary"/>
    <tableColumn id="10" xr3:uid="{7454BA87-9631-4298-8F19-0AA729167182}" name="Salary group" dataDxfId="53">
      <calculatedColumnFormula array="1">_xlfn.IFS(Table4[[#This Row],[Salary]]&lt;50000, "0-50K",Table4[[#This Row],[Salary]]&lt;100000, "50K-1L",Table4[[#This Row],[Salary]]&lt;150000, "1L-1.5L",Table4[[#This Row],[Salary]]&lt;200000, "1.5-2L",Table4[[#This Row],[Salary]]&gt;=200000, "2L+")</calculatedColumnFormula>
    </tableColumn>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EA7AABA-04B8-4FD4-9972-E05B6B11598A}" name="Table7" displayName="Table7" ref="J14:M26" headerRowCount="0" totalsRowShown="0" headerRowDxfId="52" dataDxfId="51">
  <tableColumns count="4">
    <tableColumn id="1" xr3:uid="{60F89D88-1A85-4421-BDD6-8393E81A95D8}" name="Column1" headerRowDxfId="50" dataDxfId="49"/>
    <tableColumn id="2" xr3:uid="{45D6E6F9-0F86-4CFD-8D3E-6FBD766E7324}" name="Column2" headerRowDxfId="48" dataDxfId="47"/>
    <tableColumn id="3" xr3:uid="{FDF2614E-296F-4103-A3B3-98FB3B0BBAF7}" name="Column3" headerRowDxfId="46" dataDxfId="45"/>
    <tableColumn id="4" xr3:uid="{6259CC60-A606-4D11-AE63-197F0EB9A75E}" name="Column4" headerRowDxfId="44" dataDxfId="43"/>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E1A6CCE-1195-456A-9D73-D789839BBEB3}" name="Table8" displayName="Table8" ref="N14:N26" headerRowCount="0" totalsRowShown="0" headerRowDxfId="42" dataDxfId="41">
  <tableColumns count="1">
    <tableColumn id="1" xr3:uid="{2F76FB46-B25A-4180-B96A-340C08715549}" name="Column1" headerRowDxfId="40" dataDxfId="39"/>
  </tableColumns>
  <tableStyleInfo name="TableStyleLight8"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A983447-2D92-49A5-84B5-88EC25FF2375}" name="Table9" displayName="Table9" ref="A13:G19" headerRowCount="0" totalsRowShown="0" headerRowDxfId="38" dataDxfId="37">
  <tableColumns count="7">
    <tableColumn id="1" xr3:uid="{91135727-8FEF-4F1E-8618-864D91C86A0A}" name="Column1" headerRowDxfId="36" dataDxfId="35"/>
    <tableColumn id="2" xr3:uid="{565F6C34-2A05-463A-8AFC-2DDF41E0CE15}" name="Column2" headerRowDxfId="34" dataDxfId="33"/>
    <tableColumn id="3" xr3:uid="{9683BEDE-D491-474C-8FE9-CE4ABAE64662}" name="Column3" headerRowDxfId="32" dataDxfId="31"/>
    <tableColumn id="4" xr3:uid="{207E91A7-9D20-46D4-985B-731EEC3D11C2}" name="Column4" headerRowDxfId="30" dataDxfId="29"/>
    <tableColumn id="5" xr3:uid="{C7353BDE-7C33-41EC-80D6-021B85FDA00C}" name="Column5" headerRowDxfId="28" dataDxfId="27"/>
    <tableColumn id="6" xr3:uid="{E0056AE0-CA44-4268-8CDA-EA7EBCB9AB6C}" name="Column6" headerRowDxfId="26" dataDxfId="25"/>
    <tableColumn id="7" xr3:uid="{27453AB7-97A2-4296-AE44-1810F99E5EB0}" name="Column7" headerRowDxfId="24" dataDxfId="2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8438CE5-AEE0-48C9-A8AD-A16AA683E4B7}" name="Table10" displayName="Table10" ref="A3:K10" headerRowCount="0" totalsRowShown="0" headerRowDxfId="22">
  <tableColumns count="11">
    <tableColumn id="1" xr3:uid="{4B906187-6D10-4A5A-A8A3-A743A595BE72}" name="Column1" headerRowDxfId="21" dataDxfId="20"/>
    <tableColumn id="2" xr3:uid="{12740C86-8F10-46AF-9C89-F457FC0A8372}" name="Column2" headerRowDxfId="19" dataDxfId="18"/>
    <tableColumn id="3" xr3:uid="{2265C54B-7CD0-4C36-90AE-DF6A999026DB}" name="Column3" headerRowDxfId="17" dataDxfId="16"/>
    <tableColumn id="4" xr3:uid="{BDC961AB-1AC9-46FE-A18F-900A1732DE94}" name="Column4" headerRowDxfId="15" dataDxfId="14"/>
    <tableColumn id="5" xr3:uid="{E47C7726-01F6-4840-B0F0-6ACAFC998890}" name="Column5" headerRowDxfId="13" dataDxfId="12"/>
    <tableColumn id="6" xr3:uid="{3DABE055-78AE-4AB6-9274-7FF80E0A7F5F}" name="Column6" headerRowDxfId="11" dataDxfId="10"/>
    <tableColumn id="7" xr3:uid="{3D273B41-7613-43B2-9806-1A2E8DDC0568}" name="Column7" headerRowDxfId="9"/>
    <tableColumn id="8" xr3:uid="{B944684A-5B4E-4984-87C4-A8D3B30DF1DA}" name="Column8" headerRowDxfId="8"/>
    <tableColumn id="9" xr3:uid="{EDDE581C-13C9-4A31-B3C1-190FAC3111DF}" name="Column9" headerRowDxfId="7"/>
    <tableColumn id="10" xr3:uid="{94E216E2-9237-42F8-8BE5-C51020BAF147}" name="Column10" headerRowDxfId="6"/>
    <tableColumn id="11" xr3:uid="{21B34D1E-5125-42CA-8410-14CEBF326231}" name="Column11" headerRowDxfId="5"/>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D3BDE69-BE71-45A7-9A9B-46325425FCA9}" name="Table12" displayName="Table12" ref="L4:N10" headerRowCount="0" totalsRowShown="0">
  <tableColumns count="3">
    <tableColumn id="1" xr3:uid="{4AB01719-C91C-4482-BD78-726E8C2BFFA6}" name="Column1" headerRowDxfId="4" dataDxfId="3"/>
    <tableColumn id="2" xr3:uid="{54FBA04C-F3B6-47EB-885B-23A4F20E2785}" name="Column2" headerRowDxfId="2"/>
    <tableColumn id="3" xr3:uid="{41B8EEEF-EFDE-430B-8000-E10E86CB9CF1}" name="Column3"/>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5" Type="http://schemas.openxmlformats.org/officeDocument/2006/relationships/table" Target="../tables/table6.xml"/><Relationship Id="rId4"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D4D17-EBD9-4095-927A-7C00DD7E1D63}">
  <dimension ref="A1:H501"/>
  <sheetViews>
    <sheetView workbookViewId="0">
      <selection activeCell="M19" sqref="M19"/>
    </sheetView>
  </sheetViews>
  <sheetFormatPr defaultRowHeight="14.4" x14ac:dyDescent="0.3"/>
  <cols>
    <col min="1" max="1" width="5.21875" bestFit="1" customWidth="1"/>
    <col min="2" max="2" width="11.21875" bestFit="1" customWidth="1"/>
    <col min="3" max="3" width="4" bestFit="1" customWidth="1"/>
    <col min="4" max="4" width="10.5546875" bestFit="1" customWidth="1"/>
    <col min="5" max="5" width="10.109375" bestFit="1" customWidth="1"/>
    <col min="6" max="6" width="10.33203125" bestFit="1" customWidth="1"/>
    <col min="7" max="7" width="9.88671875" bestFit="1" customWidth="1"/>
    <col min="8" max="8" width="7" bestFit="1" customWidth="1"/>
  </cols>
  <sheetData>
    <row r="1" spans="1:8" x14ac:dyDescent="0.3">
      <c r="A1" t="s">
        <v>0</v>
      </c>
      <c r="B1" t="s">
        <v>1</v>
      </c>
      <c r="C1" t="s">
        <v>2</v>
      </c>
      <c r="D1" t="s">
        <v>3</v>
      </c>
      <c r="E1" t="s">
        <v>4</v>
      </c>
      <c r="F1" t="s">
        <v>5</v>
      </c>
      <c r="G1" t="s">
        <v>6</v>
      </c>
      <c r="H1" t="s">
        <v>7</v>
      </c>
    </row>
    <row r="2" spans="1:8" x14ac:dyDescent="0.3">
      <c r="A2">
        <v>0</v>
      </c>
      <c r="B2">
        <v>8794</v>
      </c>
      <c r="C2">
        <v>60</v>
      </c>
      <c r="D2" t="s">
        <v>8</v>
      </c>
      <c r="E2" t="b">
        <v>0</v>
      </c>
      <c r="F2" s="1">
        <v>34417</v>
      </c>
      <c r="G2">
        <v>30</v>
      </c>
      <c r="H2">
        <v>238668</v>
      </c>
    </row>
    <row r="3" spans="1:8" x14ac:dyDescent="0.3">
      <c r="A3">
        <v>1</v>
      </c>
      <c r="B3">
        <v>8222</v>
      </c>
      <c r="C3">
        <v>28</v>
      </c>
      <c r="D3" t="s">
        <v>9</v>
      </c>
      <c r="E3" t="b">
        <v>1</v>
      </c>
      <c r="F3" s="1">
        <v>29197</v>
      </c>
      <c r="G3">
        <v>13</v>
      </c>
      <c r="H3">
        <v>105995</v>
      </c>
    </row>
    <row r="4" spans="1:8" x14ac:dyDescent="0.3">
      <c r="A4">
        <v>2</v>
      </c>
      <c r="B4">
        <v>7643</v>
      </c>
      <c r="C4">
        <v>30</v>
      </c>
      <c r="D4" t="s">
        <v>10</v>
      </c>
      <c r="E4" t="b">
        <v>0</v>
      </c>
      <c r="F4" s="1">
        <v>36063</v>
      </c>
      <c r="G4">
        <v>11</v>
      </c>
      <c r="H4">
        <v>96120</v>
      </c>
    </row>
    <row r="5" spans="1:8" x14ac:dyDescent="0.3">
      <c r="A5">
        <v>3</v>
      </c>
      <c r="B5">
        <v>2737</v>
      </c>
      <c r="C5">
        <v>38</v>
      </c>
      <c r="D5" t="s">
        <v>11</v>
      </c>
      <c r="E5" t="b">
        <v>1</v>
      </c>
      <c r="F5" s="1">
        <v>40870</v>
      </c>
      <c r="G5">
        <v>20</v>
      </c>
      <c r="H5">
        <v>153525</v>
      </c>
    </row>
    <row r="6" spans="1:8" x14ac:dyDescent="0.3">
      <c r="A6">
        <v>4</v>
      </c>
      <c r="B6">
        <v>8557</v>
      </c>
      <c r="C6">
        <v>61</v>
      </c>
      <c r="D6" t="s">
        <v>11</v>
      </c>
      <c r="E6" t="b">
        <v>1</v>
      </c>
      <c r="F6" s="1">
        <v>28041</v>
      </c>
      <c r="G6">
        <v>31</v>
      </c>
      <c r="H6">
        <v>249192</v>
      </c>
    </row>
    <row r="7" spans="1:8" x14ac:dyDescent="0.3">
      <c r="A7">
        <v>5</v>
      </c>
      <c r="B7">
        <v>8484</v>
      </c>
      <c r="C7">
        <v>31</v>
      </c>
      <c r="D7" t="s">
        <v>10</v>
      </c>
      <c r="E7" t="b">
        <v>0</v>
      </c>
      <c r="F7" s="1">
        <v>30109</v>
      </c>
      <c r="G7">
        <v>14</v>
      </c>
      <c r="H7">
        <v>112443</v>
      </c>
    </row>
    <row r="8" spans="1:8" x14ac:dyDescent="0.3">
      <c r="A8">
        <v>6</v>
      </c>
      <c r="B8">
        <v>5854</v>
      </c>
      <c r="C8">
        <v>64</v>
      </c>
      <c r="D8" t="s">
        <v>8</v>
      </c>
      <c r="E8" t="b">
        <v>0</v>
      </c>
      <c r="F8" s="1">
        <v>29902</v>
      </c>
      <c r="G8">
        <v>33</v>
      </c>
      <c r="H8">
        <v>269150</v>
      </c>
    </row>
    <row r="9" spans="1:8" x14ac:dyDescent="0.3">
      <c r="A9">
        <v>7</v>
      </c>
      <c r="B9">
        <v>6012</v>
      </c>
      <c r="C9">
        <v>33</v>
      </c>
      <c r="D9" t="s">
        <v>8</v>
      </c>
      <c r="E9" t="b">
        <v>0</v>
      </c>
      <c r="F9" s="1">
        <v>30587</v>
      </c>
      <c r="G9">
        <v>13</v>
      </c>
      <c r="H9">
        <v>99541</v>
      </c>
    </row>
    <row r="10" spans="1:8" x14ac:dyDescent="0.3">
      <c r="A10">
        <v>8</v>
      </c>
      <c r="B10">
        <v>7462</v>
      </c>
      <c r="C10">
        <v>34</v>
      </c>
      <c r="D10" t="s">
        <v>8</v>
      </c>
      <c r="E10" t="b">
        <v>0</v>
      </c>
      <c r="F10" s="1">
        <v>44218</v>
      </c>
      <c r="G10">
        <v>15</v>
      </c>
      <c r="H10">
        <v>119128</v>
      </c>
    </row>
    <row r="11" spans="1:8" x14ac:dyDescent="0.3">
      <c r="A11">
        <v>9</v>
      </c>
      <c r="B11">
        <v>7276</v>
      </c>
      <c r="C11">
        <v>23</v>
      </c>
      <c r="D11" t="s">
        <v>8</v>
      </c>
      <c r="E11" t="b">
        <v>0</v>
      </c>
      <c r="F11" s="1">
        <v>41915</v>
      </c>
      <c r="G11">
        <v>11</v>
      </c>
      <c r="H11">
        <v>83249</v>
      </c>
    </row>
    <row r="12" spans="1:8" x14ac:dyDescent="0.3">
      <c r="A12">
        <v>10</v>
      </c>
      <c r="B12">
        <v>6621</v>
      </c>
      <c r="C12">
        <v>51</v>
      </c>
      <c r="D12" t="s">
        <v>12</v>
      </c>
      <c r="E12" t="b">
        <v>1</v>
      </c>
      <c r="F12" s="1">
        <v>27100</v>
      </c>
      <c r="G12">
        <v>26</v>
      </c>
      <c r="H12">
        <v>201259</v>
      </c>
    </row>
    <row r="13" spans="1:8" x14ac:dyDescent="0.3">
      <c r="A13">
        <v>11</v>
      </c>
      <c r="B13">
        <v>7461</v>
      </c>
      <c r="C13">
        <v>43</v>
      </c>
      <c r="D13" t="s">
        <v>12</v>
      </c>
      <c r="E13" t="b">
        <v>1</v>
      </c>
      <c r="F13" s="1">
        <v>33397</v>
      </c>
      <c r="G13">
        <v>17</v>
      </c>
      <c r="H13">
        <v>144477</v>
      </c>
    </row>
    <row r="14" spans="1:8" x14ac:dyDescent="0.3">
      <c r="A14">
        <v>12</v>
      </c>
      <c r="B14">
        <v>4181</v>
      </c>
      <c r="C14">
        <v>33</v>
      </c>
      <c r="D14" t="s">
        <v>8</v>
      </c>
      <c r="E14" t="b">
        <v>1</v>
      </c>
      <c r="F14" s="1">
        <v>42116</v>
      </c>
      <c r="G14">
        <v>18</v>
      </c>
      <c r="H14">
        <v>148126</v>
      </c>
    </row>
    <row r="15" spans="1:8" x14ac:dyDescent="0.3">
      <c r="A15">
        <v>13</v>
      </c>
      <c r="B15">
        <v>9770</v>
      </c>
      <c r="C15">
        <v>64</v>
      </c>
      <c r="D15" t="s">
        <v>10</v>
      </c>
      <c r="E15" t="b">
        <v>0</v>
      </c>
      <c r="F15" s="1">
        <v>30901</v>
      </c>
      <c r="G15">
        <v>29</v>
      </c>
      <c r="H15">
        <v>237357</v>
      </c>
    </row>
    <row r="16" spans="1:8" x14ac:dyDescent="0.3">
      <c r="A16">
        <v>14</v>
      </c>
      <c r="B16">
        <v>9138</v>
      </c>
      <c r="C16">
        <v>41</v>
      </c>
      <c r="D16" t="s">
        <v>8</v>
      </c>
      <c r="E16" t="b">
        <v>1</v>
      </c>
      <c r="F16" s="1">
        <v>38308</v>
      </c>
      <c r="G16">
        <v>19</v>
      </c>
      <c r="H16">
        <v>158446</v>
      </c>
    </row>
    <row r="17" spans="1:8" x14ac:dyDescent="0.3">
      <c r="A17">
        <v>15</v>
      </c>
      <c r="B17">
        <v>7182</v>
      </c>
      <c r="C17">
        <v>30</v>
      </c>
      <c r="D17" t="s">
        <v>10</v>
      </c>
      <c r="E17" t="b">
        <v>1</v>
      </c>
      <c r="F17" s="1">
        <v>30259</v>
      </c>
      <c r="G17">
        <v>15</v>
      </c>
      <c r="H17">
        <v>124601</v>
      </c>
    </row>
    <row r="18" spans="1:8" x14ac:dyDescent="0.3">
      <c r="A18">
        <v>16</v>
      </c>
      <c r="B18">
        <v>9901</v>
      </c>
      <c r="C18">
        <v>60</v>
      </c>
      <c r="D18" t="s">
        <v>12</v>
      </c>
      <c r="E18" t="b">
        <v>1</v>
      </c>
      <c r="F18" s="1">
        <v>36972</v>
      </c>
      <c r="G18">
        <v>27</v>
      </c>
      <c r="H18">
        <v>209673</v>
      </c>
    </row>
    <row r="19" spans="1:8" x14ac:dyDescent="0.3">
      <c r="A19">
        <v>17</v>
      </c>
      <c r="B19">
        <v>9684</v>
      </c>
      <c r="C19">
        <v>25</v>
      </c>
      <c r="D19" t="s">
        <v>8</v>
      </c>
      <c r="E19" t="b">
        <v>0</v>
      </c>
      <c r="F19" s="1">
        <v>45253</v>
      </c>
      <c r="G19">
        <v>11</v>
      </c>
      <c r="H19">
        <v>88325</v>
      </c>
    </row>
    <row r="20" spans="1:8" x14ac:dyDescent="0.3">
      <c r="A20">
        <v>18</v>
      </c>
      <c r="B20">
        <v>6645</v>
      </c>
      <c r="C20">
        <v>30</v>
      </c>
      <c r="D20" t="s">
        <v>10</v>
      </c>
      <c r="E20" t="b">
        <v>0</v>
      </c>
      <c r="F20" s="1">
        <v>37378</v>
      </c>
      <c r="G20">
        <v>14</v>
      </c>
      <c r="H20">
        <v>117761</v>
      </c>
    </row>
    <row r="21" spans="1:8" x14ac:dyDescent="0.3">
      <c r="A21">
        <v>19</v>
      </c>
      <c r="B21">
        <v>4049</v>
      </c>
      <c r="C21">
        <v>45</v>
      </c>
      <c r="D21" t="s">
        <v>12</v>
      </c>
      <c r="E21" t="b">
        <v>1</v>
      </c>
      <c r="F21" s="1">
        <v>33886</v>
      </c>
      <c r="G21">
        <v>24</v>
      </c>
      <c r="H21">
        <v>193695</v>
      </c>
    </row>
    <row r="22" spans="1:8" x14ac:dyDescent="0.3">
      <c r="A22">
        <v>20</v>
      </c>
      <c r="B22">
        <v>7857</v>
      </c>
      <c r="C22">
        <v>56</v>
      </c>
      <c r="D22" t="s">
        <v>8</v>
      </c>
      <c r="E22" t="b">
        <v>1</v>
      </c>
      <c r="F22" s="1">
        <v>26797</v>
      </c>
      <c r="G22">
        <v>27</v>
      </c>
      <c r="H22">
        <v>223718</v>
      </c>
    </row>
    <row r="23" spans="1:8" x14ac:dyDescent="0.3">
      <c r="A23">
        <v>21</v>
      </c>
      <c r="B23">
        <v>3757</v>
      </c>
      <c r="C23">
        <v>32</v>
      </c>
      <c r="D23" t="s">
        <v>8</v>
      </c>
      <c r="E23" t="b">
        <v>1</v>
      </c>
      <c r="F23" s="1">
        <v>40117</v>
      </c>
      <c r="G23">
        <v>16</v>
      </c>
      <c r="H23">
        <v>136877</v>
      </c>
    </row>
    <row r="24" spans="1:8" x14ac:dyDescent="0.3">
      <c r="A24">
        <v>22</v>
      </c>
      <c r="B24">
        <v>9062</v>
      </c>
      <c r="C24">
        <v>49</v>
      </c>
      <c r="D24" t="s">
        <v>9</v>
      </c>
      <c r="E24" t="b">
        <v>1</v>
      </c>
      <c r="F24" s="1">
        <v>41484</v>
      </c>
      <c r="G24">
        <v>24</v>
      </c>
      <c r="H24">
        <v>201355</v>
      </c>
    </row>
    <row r="25" spans="1:8" x14ac:dyDescent="0.3">
      <c r="A25">
        <v>23</v>
      </c>
      <c r="B25">
        <v>4459</v>
      </c>
      <c r="C25">
        <v>52</v>
      </c>
      <c r="D25" t="s">
        <v>11</v>
      </c>
      <c r="E25" t="b">
        <v>0</v>
      </c>
      <c r="F25" s="1">
        <v>41802</v>
      </c>
      <c r="G25">
        <v>25</v>
      </c>
      <c r="H25">
        <v>197155</v>
      </c>
    </row>
    <row r="26" spans="1:8" x14ac:dyDescent="0.3">
      <c r="A26">
        <v>24</v>
      </c>
      <c r="B26">
        <v>2444</v>
      </c>
      <c r="C26">
        <v>43</v>
      </c>
      <c r="D26" t="s">
        <v>12</v>
      </c>
      <c r="E26" t="b">
        <v>1</v>
      </c>
      <c r="F26" s="1">
        <v>31091</v>
      </c>
      <c r="G26">
        <v>22</v>
      </c>
      <c r="H26">
        <v>181254</v>
      </c>
    </row>
    <row r="27" spans="1:8" x14ac:dyDescent="0.3">
      <c r="A27">
        <v>25</v>
      </c>
      <c r="B27">
        <v>3005</v>
      </c>
      <c r="C27">
        <v>56</v>
      </c>
      <c r="D27" t="s">
        <v>9</v>
      </c>
      <c r="E27" t="b">
        <v>1</v>
      </c>
      <c r="F27" s="1">
        <v>39885</v>
      </c>
      <c r="G27">
        <v>24</v>
      </c>
      <c r="H27">
        <v>197009</v>
      </c>
    </row>
    <row r="28" spans="1:8" x14ac:dyDescent="0.3">
      <c r="A28">
        <v>26</v>
      </c>
      <c r="B28">
        <v>6797</v>
      </c>
      <c r="C28">
        <v>47</v>
      </c>
      <c r="D28" t="s">
        <v>12</v>
      </c>
      <c r="E28" t="b">
        <v>1</v>
      </c>
      <c r="F28" s="1">
        <v>35144</v>
      </c>
      <c r="G28">
        <v>26</v>
      </c>
      <c r="H28">
        <v>201648</v>
      </c>
    </row>
    <row r="29" spans="1:8" x14ac:dyDescent="0.3">
      <c r="A29">
        <v>27</v>
      </c>
      <c r="B29">
        <v>5040</v>
      </c>
      <c r="C29">
        <v>37</v>
      </c>
      <c r="D29" t="s">
        <v>11</v>
      </c>
      <c r="E29" t="b">
        <v>1</v>
      </c>
      <c r="F29" s="1">
        <v>26342</v>
      </c>
      <c r="G29">
        <v>22</v>
      </c>
      <c r="H29">
        <v>186028</v>
      </c>
    </row>
    <row r="30" spans="1:8" x14ac:dyDescent="0.3">
      <c r="A30">
        <v>28</v>
      </c>
      <c r="B30">
        <v>9477</v>
      </c>
      <c r="C30">
        <v>54</v>
      </c>
      <c r="D30" t="s">
        <v>12</v>
      </c>
      <c r="E30" t="b">
        <v>1</v>
      </c>
      <c r="F30" s="1">
        <v>39517</v>
      </c>
      <c r="G30">
        <v>26</v>
      </c>
      <c r="H30">
        <v>201094</v>
      </c>
    </row>
    <row r="31" spans="1:8" x14ac:dyDescent="0.3">
      <c r="A31">
        <v>29</v>
      </c>
      <c r="B31">
        <v>3555</v>
      </c>
      <c r="C31">
        <v>48</v>
      </c>
      <c r="D31" t="s">
        <v>9</v>
      </c>
      <c r="E31" t="b">
        <v>1</v>
      </c>
      <c r="F31" s="1">
        <v>29403</v>
      </c>
      <c r="G31">
        <v>25</v>
      </c>
      <c r="H31">
        <v>192419</v>
      </c>
    </row>
    <row r="32" spans="1:8" x14ac:dyDescent="0.3">
      <c r="A32">
        <v>30</v>
      </c>
      <c r="B32">
        <v>3490</v>
      </c>
      <c r="C32">
        <v>28</v>
      </c>
      <c r="D32" t="s">
        <v>12</v>
      </c>
      <c r="E32" t="b">
        <v>1</v>
      </c>
      <c r="F32" s="1">
        <v>38232</v>
      </c>
      <c r="G32">
        <v>13</v>
      </c>
      <c r="H32">
        <v>103102</v>
      </c>
    </row>
    <row r="33" spans="1:8" x14ac:dyDescent="0.3">
      <c r="A33">
        <v>31</v>
      </c>
      <c r="B33">
        <v>3637</v>
      </c>
      <c r="C33">
        <v>62</v>
      </c>
      <c r="D33" t="s">
        <v>10</v>
      </c>
      <c r="E33" t="b">
        <v>1</v>
      </c>
      <c r="F33" s="1">
        <v>27772</v>
      </c>
      <c r="G33">
        <v>31</v>
      </c>
      <c r="H33">
        <v>248038</v>
      </c>
    </row>
    <row r="34" spans="1:8" x14ac:dyDescent="0.3">
      <c r="A34">
        <v>32</v>
      </c>
      <c r="B34">
        <v>9629</v>
      </c>
      <c r="C34">
        <v>44</v>
      </c>
      <c r="D34" t="s">
        <v>10</v>
      </c>
      <c r="E34" t="b">
        <v>1</v>
      </c>
      <c r="F34" s="1">
        <v>34537</v>
      </c>
      <c r="G34">
        <v>22</v>
      </c>
      <c r="H34">
        <v>178656</v>
      </c>
    </row>
    <row r="35" spans="1:8" x14ac:dyDescent="0.3">
      <c r="A35">
        <v>33</v>
      </c>
      <c r="B35">
        <v>6809</v>
      </c>
      <c r="C35">
        <v>40</v>
      </c>
      <c r="D35" t="s">
        <v>12</v>
      </c>
      <c r="E35" t="b">
        <v>1</v>
      </c>
      <c r="F35" s="1">
        <v>27981</v>
      </c>
      <c r="G35">
        <v>19</v>
      </c>
      <c r="H35">
        <v>149831</v>
      </c>
    </row>
    <row r="36" spans="1:8" x14ac:dyDescent="0.3">
      <c r="A36">
        <v>34</v>
      </c>
      <c r="B36">
        <v>8660</v>
      </c>
      <c r="C36">
        <v>34</v>
      </c>
      <c r="D36" t="s">
        <v>11</v>
      </c>
      <c r="E36" t="b">
        <v>1</v>
      </c>
      <c r="F36" s="1">
        <v>43527</v>
      </c>
      <c r="G36">
        <v>17</v>
      </c>
      <c r="H36">
        <v>137180</v>
      </c>
    </row>
    <row r="37" spans="1:8" x14ac:dyDescent="0.3">
      <c r="A37">
        <v>35</v>
      </c>
      <c r="B37">
        <v>3840</v>
      </c>
      <c r="C37">
        <v>45</v>
      </c>
      <c r="D37" t="s">
        <v>9</v>
      </c>
      <c r="E37" t="b">
        <v>1</v>
      </c>
      <c r="F37" s="1">
        <v>26618</v>
      </c>
      <c r="G37">
        <v>22</v>
      </c>
      <c r="H37">
        <v>173071</v>
      </c>
    </row>
    <row r="38" spans="1:8" x14ac:dyDescent="0.3">
      <c r="A38">
        <v>36</v>
      </c>
      <c r="B38">
        <v>8354</v>
      </c>
      <c r="C38">
        <v>45</v>
      </c>
      <c r="D38" t="s">
        <v>8</v>
      </c>
      <c r="E38" t="b">
        <v>0</v>
      </c>
      <c r="F38" s="1">
        <v>26204</v>
      </c>
      <c r="G38">
        <v>22</v>
      </c>
      <c r="H38">
        <v>177939</v>
      </c>
    </row>
    <row r="39" spans="1:8" x14ac:dyDescent="0.3">
      <c r="A39">
        <v>37</v>
      </c>
      <c r="B39">
        <v>9487</v>
      </c>
      <c r="C39">
        <v>37</v>
      </c>
      <c r="D39" t="s">
        <v>9</v>
      </c>
      <c r="E39" t="b">
        <v>0</v>
      </c>
      <c r="F39" s="1">
        <v>45510</v>
      </c>
      <c r="G39">
        <v>14</v>
      </c>
      <c r="H39">
        <v>115812</v>
      </c>
    </row>
    <row r="40" spans="1:8" x14ac:dyDescent="0.3">
      <c r="A40">
        <v>38</v>
      </c>
      <c r="B40">
        <v>1501</v>
      </c>
      <c r="C40">
        <v>47</v>
      </c>
      <c r="D40" t="s">
        <v>10</v>
      </c>
      <c r="E40" t="b">
        <v>1</v>
      </c>
      <c r="F40" s="1">
        <v>32403</v>
      </c>
      <c r="G40">
        <v>21</v>
      </c>
      <c r="H40">
        <v>159633</v>
      </c>
    </row>
    <row r="41" spans="1:8" x14ac:dyDescent="0.3">
      <c r="A41">
        <v>39</v>
      </c>
      <c r="B41">
        <v>3766</v>
      </c>
      <c r="C41">
        <v>30</v>
      </c>
      <c r="D41" t="s">
        <v>10</v>
      </c>
      <c r="E41" t="b">
        <v>1</v>
      </c>
      <c r="F41" s="1">
        <v>28299</v>
      </c>
      <c r="G41">
        <v>16</v>
      </c>
      <c r="H41">
        <v>132927</v>
      </c>
    </row>
    <row r="42" spans="1:8" x14ac:dyDescent="0.3">
      <c r="A42">
        <v>40</v>
      </c>
      <c r="B42">
        <v>6867</v>
      </c>
      <c r="C42">
        <v>47</v>
      </c>
      <c r="D42" t="s">
        <v>9</v>
      </c>
      <c r="E42" t="b">
        <v>0</v>
      </c>
      <c r="F42" s="1">
        <v>39670</v>
      </c>
      <c r="G42">
        <v>26</v>
      </c>
      <c r="H42">
        <v>208357</v>
      </c>
    </row>
    <row r="43" spans="1:8" x14ac:dyDescent="0.3">
      <c r="A43">
        <v>41</v>
      </c>
      <c r="B43">
        <v>3272</v>
      </c>
      <c r="C43">
        <v>22</v>
      </c>
      <c r="D43" t="s">
        <v>9</v>
      </c>
      <c r="E43" t="b">
        <v>1</v>
      </c>
      <c r="F43" s="1">
        <v>34593</v>
      </c>
      <c r="G43">
        <v>12</v>
      </c>
      <c r="H43">
        <v>98088</v>
      </c>
    </row>
    <row r="44" spans="1:8" x14ac:dyDescent="0.3">
      <c r="A44">
        <v>42</v>
      </c>
      <c r="B44">
        <v>9299</v>
      </c>
      <c r="C44">
        <v>45</v>
      </c>
      <c r="D44" t="s">
        <v>9</v>
      </c>
      <c r="E44" t="b">
        <v>0</v>
      </c>
      <c r="F44" s="1">
        <v>44231</v>
      </c>
      <c r="G44">
        <v>20</v>
      </c>
      <c r="H44">
        <v>162526</v>
      </c>
    </row>
    <row r="45" spans="1:8" x14ac:dyDescent="0.3">
      <c r="A45">
        <v>43</v>
      </c>
      <c r="B45">
        <v>3681</v>
      </c>
      <c r="C45">
        <v>48</v>
      </c>
      <c r="D45" t="s">
        <v>8</v>
      </c>
      <c r="E45" t="b">
        <v>1</v>
      </c>
      <c r="F45" s="1">
        <v>27080</v>
      </c>
      <c r="G45">
        <v>23</v>
      </c>
      <c r="H45">
        <v>182251</v>
      </c>
    </row>
    <row r="46" spans="1:8" x14ac:dyDescent="0.3">
      <c r="A46">
        <v>44</v>
      </c>
      <c r="B46">
        <v>1311</v>
      </c>
      <c r="C46">
        <v>51</v>
      </c>
      <c r="D46" t="s">
        <v>9</v>
      </c>
      <c r="E46" t="b">
        <v>1</v>
      </c>
      <c r="F46" s="1">
        <v>44672</v>
      </c>
      <c r="G46">
        <v>27</v>
      </c>
      <c r="H46">
        <v>222715</v>
      </c>
    </row>
    <row r="47" spans="1:8" x14ac:dyDescent="0.3">
      <c r="A47">
        <v>45</v>
      </c>
      <c r="B47">
        <v>7563</v>
      </c>
      <c r="C47">
        <v>31</v>
      </c>
      <c r="D47" t="s">
        <v>8</v>
      </c>
      <c r="E47" t="b">
        <v>0</v>
      </c>
      <c r="F47" s="1">
        <v>29962</v>
      </c>
      <c r="G47">
        <v>17</v>
      </c>
      <c r="H47">
        <v>133435</v>
      </c>
    </row>
    <row r="48" spans="1:8" x14ac:dyDescent="0.3">
      <c r="A48">
        <v>46</v>
      </c>
      <c r="B48">
        <v>1977</v>
      </c>
      <c r="C48">
        <v>38</v>
      </c>
      <c r="D48" t="s">
        <v>8</v>
      </c>
      <c r="E48" t="b">
        <v>0</v>
      </c>
      <c r="F48" s="1">
        <v>43596</v>
      </c>
      <c r="G48">
        <v>18</v>
      </c>
      <c r="H48">
        <v>130398</v>
      </c>
    </row>
    <row r="49" spans="1:8" x14ac:dyDescent="0.3">
      <c r="A49">
        <v>47</v>
      </c>
      <c r="B49">
        <v>2765</v>
      </c>
      <c r="C49">
        <v>40</v>
      </c>
      <c r="D49" t="s">
        <v>9</v>
      </c>
      <c r="E49" t="b">
        <v>1</v>
      </c>
      <c r="F49" s="1">
        <v>36539</v>
      </c>
      <c r="G49">
        <v>21</v>
      </c>
      <c r="H49">
        <v>164496</v>
      </c>
    </row>
    <row r="50" spans="1:8" x14ac:dyDescent="0.3">
      <c r="A50">
        <v>48</v>
      </c>
      <c r="B50">
        <v>1385</v>
      </c>
      <c r="C50">
        <v>42</v>
      </c>
      <c r="D50" t="s">
        <v>8</v>
      </c>
      <c r="E50" t="b">
        <v>0</v>
      </c>
      <c r="F50" s="1">
        <v>38961</v>
      </c>
      <c r="G50">
        <v>19</v>
      </c>
      <c r="H50">
        <v>158595</v>
      </c>
    </row>
    <row r="51" spans="1:8" x14ac:dyDescent="0.3">
      <c r="A51">
        <v>49</v>
      </c>
      <c r="B51">
        <v>4113</v>
      </c>
      <c r="C51">
        <v>64</v>
      </c>
      <c r="D51" t="s">
        <v>10</v>
      </c>
      <c r="E51" t="b">
        <v>0</v>
      </c>
      <c r="F51" s="1">
        <v>41069</v>
      </c>
      <c r="G51">
        <v>30</v>
      </c>
      <c r="H51">
        <v>236259</v>
      </c>
    </row>
    <row r="52" spans="1:8" x14ac:dyDescent="0.3">
      <c r="A52">
        <v>50</v>
      </c>
      <c r="B52">
        <v>8791</v>
      </c>
      <c r="C52">
        <v>50</v>
      </c>
      <c r="D52" t="s">
        <v>9</v>
      </c>
      <c r="E52" t="b">
        <v>1</v>
      </c>
      <c r="F52" s="1">
        <v>27499</v>
      </c>
      <c r="G52">
        <v>22</v>
      </c>
      <c r="H52">
        <v>174905</v>
      </c>
    </row>
    <row r="53" spans="1:8" x14ac:dyDescent="0.3">
      <c r="A53">
        <v>51</v>
      </c>
      <c r="B53">
        <v>7925</v>
      </c>
      <c r="C53">
        <v>44</v>
      </c>
      <c r="D53" t="s">
        <v>11</v>
      </c>
      <c r="E53" t="b">
        <v>0</v>
      </c>
      <c r="F53" s="1">
        <v>34686</v>
      </c>
      <c r="G53">
        <v>21</v>
      </c>
      <c r="H53">
        <v>161581</v>
      </c>
    </row>
    <row r="54" spans="1:8" x14ac:dyDescent="0.3">
      <c r="A54">
        <v>52</v>
      </c>
      <c r="B54">
        <v>9867</v>
      </c>
      <c r="C54">
        <v>50</v>
      </c>
      <c r="D54" t="s">
        <v>12</v>
      </c>
      <c r="E54" t="b">
        <v>1</v>
      </c>
      <c r="F54" s="1">
        <v>32072</v>
      </c>
      <c r="G54">
        <v>27</v>
      </c>
      <c r="H54">
        <v>210865</v>
      </c>
    </row>
    <row r="55" spans="1:8" x14ac:dyDescent="0.3">
      <c r="A55">
        <v>53</v>
      </c>
      <c r="B55">
        <v>3086</v>
      </c>
      <c r="C55">
        <v>46</v>
      </c>
      <c r="D55" t="s">
        <v>12</v>
      </c>
      <c r="E55" t="b">
        <v>1</v>
      </c>
      <c r="F55" s="1">
        <v>43869</v>
      </c>
      <c r="G55">
        <v>23</v>
      </c>
      <c r="H55">
        <v>187209</v>
      </c>
    </row>
    <row r="56" spans="1:8" x14ac:dyDescent="0.3">
      <c r="A56">
        <v>54</v>
      </c>
      <c r="B56">
        <v>2797</v>
      </c>
      <c r="C56">
        <v>51</v>
      </c>
      <c r="D56" t="s">
        <v>12</v>
      </c>
      <c r="E56" t="b">
        <v>1</v>
      </c>
      <c r="F56" s="1">
        <v>41585</v>
      </c>
      <c r="G56">
        <v>27</v>
      </c>
      <c r="H56">
        <v>216483</v>
      </c>
    </row>
    <row r="57" spans="1:8" x14ac:dyDescent="0.3">
      <c r="A57">
        <v>55</v>
      </c>
      <c r="B57">
        <v>2514</v>
      </c>
      <c r="C57">
        <v>63</v>
      </c>
      <c r="D57" t="s">
        <v>12</v>
      </c>
      <c r="E57" t="b">
        <v>0</v>
      </c>
      <c r="F57" s="1">
        <v>37692</v>
      </c>
      <c r="G57">
        <v>31</v>
      </c>
      <c r="H57">
        <v>241732</v>
      </c>
    </row>
    <row r="58" spans="1:8" x14ac:dyDescent="0.3">
      <c r="A58">
        <v>56</v>
      </c>
      <c r="B58">
        <v>5404</v>
      </c>
      <c r="C58">
        <v>22</v>
      </c>
      <c r="D58" t="s">
        <v>12</v>
      </c>
      <c r="E58" t="b">
        <v>1</v>
      </c>
      <c r="F58" s="1">
        <v>27170</v>
      </c>
      <c r="G58">
        <v>13</v>
      </c>
      <c r="H58">
        <v>100085</v>
      </c>
    </row>
    <row r="59" spans="1:8" x14ac:dyDescent="0.3">
      <c r="A59">
        <v>57</v>
      </c>
      <c r="B59">
        <v>7609</v>
      </c>
      <c r="C59">
        <v>48</v>
      </c>
      <c r="D59" t="s">
        <v>11</v>
      </c>
      <c r="E59" t="b">
        <v>0</v>
      </c>
      <c r="F59" s="1">
        <v>32974</v>
      </c>
      <c r="G59">
        <v>24</v>
      </c>
      <c r="H59">
        <v>196599</v>
      </c>
    </row>
    <row r="60" spans="1:8" x14ac:dyDescent="0.3">
      <c r="A60">
        <v>58</v>
      </c>
      <c r="B60">
        <v>4788</v>
      </c>
      <c r="C60">
        <v>53</v>
      </c>
      <c r="D60" t="s">
        <v>9</v>
      </c>
      <c r="E60" t="b">
        <v>0</v>
      </c>
      <c r="F60" s="1">
        <v>31948</v>
      </c>
      <c r="G60">
        <v>25</v>
      </c>
      <c r="H60">
        <v>203758</v>
      </c>
    </row>
    <row r="61" spans="1:8" x14ac:dyDescent="0.3">
      <c r="A61">
        <v>59</v>
      </c>
      <c r="B61">
        <v>1607</v>
      </c>
      <c r="C61">
        <v>59</v>
      </c>
      <c r="D61" t="s">
        <v>12</v>
      </c>
      <c r="E61" t="b">
        <v>1</v>
      </c>
      <c r="F61" s="1">
        <v>28052</v>
      </c>
      <c r="G61">
        <v>32</v>
      </c>
      <c r="H61">
        <v>254771</v>
      </c>
    </row>
    <row r="62" spans="1:8" x14ac:dyDescent="0.3">
      <c r="A62">
        <v>60</v>
      </c>
      <c r="B62">
        <v>4605</v>
      </c>
      <c r="C62">
        <v>53</v>
      </c>
      <c r="D62" t="s">
        <v>8</v>
      </c>
      <c r="E62" t="b">
        <v>1</v>
      </c>
      <c r="F62" s="1">
        <v>39709</v>
      </c>
      <c r="G62">
        <v>28</v>
      </c>
      <c r="H62">
        <v>221350</v>
      </c>
    </row>
    <row r="63" spans="1:8" x14ac:dyDescent="0.3">
      <c r="A63">
        <v>61</v>
      </c>
      <c r="B63">
        <v>9897</v>
      </c>
      <c r="C63">
        <v>60</v>
      </c>
      <c r="D63" t="s">
        <v>8</v>
      </c>
      <c r="E63" t="b">
        <v>0</v>
      </c>
      <c r="F63" s="1">
        <v>38220</v>
      </c>
      <c r="G63">
        <v>28</v>
      </c>
      <c r="H63">
        <v>227840</v>
      </c>
    </row>
    <row r="64" spans="1:8" x14ac:dyDescent="0.3">
      <c r="A64">
        <v>62</v>
      </c>
      <c r="B64">
        <v>6593</v>
      </c>
      <c r="C64">
        <v>30</v>
      </c>
      <c r="D64" t="s">
        <v>8</v>
      </c>
      <c r="E64" t="b">
        <v>0</v>
      </c>
      <c r="F64" s="1">
        <v>39715</v>
      </c>
      <c r="G64">
        <v>15</v>
      </c>
      <c r="H64">
        <v>118126</v>
      </c>
    </row>
    <row r="65" spans="1:8" x14ac:dyDescent="0.3">
      <c r="A65">
        <v>63</v>
      </c>
      <c r="B65">
        <v>2340</v>
      </c>
      <c r="C65">
        <v>32</v>
      </c>
      <c r="D65" t="s">
        <v>9</v>
      </c>
      <c r="E65" t="b">
        <v>0</v>
      </c>
      <c r="F65" s="1">
        <v>27851</v>
      </c>
      <c r="G65">
        <v>15</v>
      </c>
      <c r="H65">
        <v>124811</v>
      </c>
    </row>
    <row r="66" spans="1:8" x14ac:dyDescent="0.3">
      <c r="A66">
        <v>64</v>
      </c>
      <c r="B66">
        <v>5328</v>
      </c>
      <c r="C66">
        <v>34</v>
      </c>
      <c r="D66" t="s">
        <v>12</v>
      </c>
      <c r="E66" t="b">
        <v>0</v>
      </c>
      <c r="F66" s="1">
        <v>38528</v>
      </c>
      <c r="G66">
        <v>17</v>
      </c>
      <c r="H66">
        <v>138134</v>
      </c>
    </row>
    <row r="67" spans="1:8" x14ac:dyDescent="0.3">
      <c r="A67">
        <v>65</v>
      </c>
      <c r="B67">
        <v>5037</v>
      </c>
      <c r="C67">
        <v>36</v>
      </c>
      <c r="D67" t="s">
        <v>8</v>
      </c>
      <c r="E67" t="b">
        <v>0</v>
      </c>
      <c r="F67" s="1">
        <v>36671</v>
      </c>
      <c r="G67">
        <v>16</v>
      </c>
      <c r="H67">
        <v>127124</v>
      </c>
    </row>
    <row r="68" spans="1:8" x14ac:dyDescent="0.3">
      <c r="A68">
        <v>66</v>
      </c>
      <c r="B68">
        <v>4527</v>
      </c>
      <c r="C68">
        <v>44</v>
      </c>
      <c r="D68" t="s">
        <v>9</v>
      </c>
      <c r="E68" t="b">
        <v>0</v>
      </c>
      <c r="F68" s="1">
        <v>27888</v>
      </c>
      <c r="G68">
        <v>19</v>
      </c>
      <c r="H68">
        <v>151056</v>
      </c>
    </row>
    <row r="69" spans="1:8" x14ac:dyDescent="0.3">
      <c r="A69">
        <v>67</v>
      </c>
      <c r="B69">
        <v>6286</v>
      </c>
      <c r="C69">
        <v>40</v>
      </c>
      <c r="D69" t="s">
        <v>8</v>
      </c>
      <c r="E69" t="b">
        <v>0</v>
      </c>
      <c r="F69" s="1">
        <v>37428</v>
      </c>
      <c r="G69">
        <v>18</v>
      </c>
      <c r="H69">
        <v>135177</v>
      </c>
    </row>
    <row r="70" spans="1:8" x14ac:dyDescent="0.3">
      <c r="A70">
        <v>68</v>
      </c>
      <c r="B70">
        <v>3154</v>
      </c>
      <c r="C70">
        <v>31</v>
      </c>
      <c r="D70" t="s">
        <v>10</v>
      </c>
      <c r="E70" t="b">
        <v>1</v>
      </c>
      <c r="F70" s="1">
        <v>35458</v>
      </c>
      <c r="G70">
        <v>12</v>
      </c>
      <c r="H70">
        <v>99214</v>
      </c>
    </row>
    <row r="71" spans="1:8" x14ac:dyDescent="0.3">
      <c r="A71">
        <v>69</v>
      </c>
      <c r="B71">
        <v>9819</v>
      </c>
      <c r="C71">
        <v>35</v>
      </c>
      <c r="D71" t="s">
        <v>9</v>
      </c>
      <c r="E71" t="b">
        <v>0</v>
      </c>
      <c r="F71" s="1">
        <v>43681</v>
      </c>
      <c r="G71">
        <v>17</v>
      </c>
      <c r="H71">
        <v>133866</v>
      </c>
    </row>
    <row r="72" spans="1:8" x14ac:dyDescent="0.3">
      <c r="A72">
        <v>70</v>
      </c>
      <c r="B72">
        <v>3438</v>
      </c>
      <c r="C72">
        <v>32</v>
      </c>
      <c r="D72" t="s">
        <v>12</v>
      </c>
      <c r="E72" t="b">
        <v>1</v>
      </c>
      <c r="F72" s="1">
        <v>27184</v>
      </c>
      <c r="G72">
        <v>16</v>
      </c>
      <c r="H72">
        <v>127570</v>
      </c>
    </row>
    <row r="73" spans="1:8" x14ac:dyDescent="0.3">
      <c r="A73">
        <v>71</v>
      </c>
      <c r="B73">
        <v>8337</v>
      </c>
      <c r="C73">
        <v>35</v>
      </c>
      <c r="D73" t="s">
        <v>11</v>
      </c>
      <c r="E73" t="b">
        <v>1</v>
      </c>
      <c r="F73" s="1">
        <v>33369</v>
      </c>
      <c r="G73">
        <v>19</v>
      </c>
      <c r="H73">
        <v>140250</v>
      </c>
    </row>
    <row r="74" spans="1:8" x14ac:dyDescent="0.3">
      <c r="A74">
        <v>72</v>
      </c>
      <c r="B74">
        <v>7233</v>
      </c>
      <c r="C74">
        <v>51</v>
      </c>
      <c r="D74" t="s">
        <v>9</v>
      </c>
      <c r="E74" t="b">
        <v>0</v>
      </c>
      <c r="F74" s="1">
        <v>33641</v>
      </c>
      <c r="G74">
        <v>27</v>
      </c>
      <c r="H74">
        <v>212800</v>
      </c>
    </row>
    <row r="75" spans="1:8" x14ac:dyDescent="0.3">
      <c r="A75">
        <v>73</v>
      </c>
      <c r="B75">
        <v>7073</v>
      </c>
      <c r="C75">
        <v>50</v>
      </c>
      <c r="D75" t="s">
        <v>11</v>
      </c>
      <c r="E75" t="b">
        <v>0</v>
      </c>
      <c r="F75" s="1">
        <v>33851</v>
      </c>
      <c r="G75">
        <v>23</v>
      </c>
      <c r="H75">
        <v>191346</v>
      </c>
    </row>
    <row r="76" spans="1:8" x14ac:dyDescent="0.3">
      <c r="A76">
        <v>74</v>
      </c>
      <c r="B76">
        <v>6850</v>
      </c>
      <c r="C76">
        <v>36</v>
      </c>
      <c r="D76" t="s">
        <v>10</v>
      </c>
      <c r="E76" t="b">
        <v>1</v>
      </c>
      <c r="F76" s="1">
        <v>35513</v>
      </c>
      <c r="G76">
        <v>20</v>
      </c>
      <c r="H76">
        <v>160278</v>
      </c>
    </row>
    <row r="77" spans="1:8" x14ac:dyDescent="0.3">
      <c r="A77">
        <v>75</v>
      </c>
      <c r="B77">
        <v>7191</v>
      </c>
      <c r="C77">
        <v>52</v>
      </c>
      <c r="D77" t="s">
        <v>9</v>
      </c>
      <c r="E77" t="b">
        <v>1</v>
      </c>
      <c r="F77" s="1">
        <v>30446</v>
      </c>
      <c r="G77">
        <v>27</v>
      </c>
      <c r="H77">
        <v>217985</v>
      </c>
    </row>
    <row r="78" spans="1:8" x14ac:dyDescent="0.3">
      <c r="A78">
        <v>76</v>
      </c>
      <c r="B78">
        <v>5208</v>
      </c>
      <c r="C78">
        <v>36</v>
      </c>
      <c r="D78" t="s">
        <v>12</v>
      </c>
      <c r="E78" t="b">
        <v>1</v>
      </c>
      <c r="F78" s="1">
        <v>44911</v>
      </c>
      <c r="G78">
        <v>20</v>
      </c>
      <c r="H78">
        <v>172798</v>
      </c>
    </row>
    <row r="79" spans="1:8" x14ac:dyDescent="0.3">
      <c r="A79">
        <v>77</v>
      </c>
      <c r="B79">
        <v>5116</v>
      </c>
      <c r="C79">
        <v>26</v>
      </c>
      <c r="D79" t="s">
        <v>12</v>
      </c>
      <c r="E79" t="b">
        <v>0</v>
      </c>
      <c r="F79" s="1">
        <v>25987</v>
      </c>
      <c r="G79">
        <v>15</v>
      </c>
      <c r="H79">
        <v>120869</v>
      </c>
    </row>
    <row r="80" spans="1:8" x14ac:dyDescent="0.3">
      <c r="A80">
        <v>78</v>
      </c>
      <c r="B80">
        <v>6328</v>
      </c>
      <c r="C80">
        <v>45</v>
      </c>
      <c r="D80" t="s">
        <v>9</v>
      </c>
      <c r="E80" t="b">
        <v>1</v>
      </c>
      <c r="F80" s="1">
        <v>29280</v>
      </c>
      <c r="G80">
        <v>23</v>
      </c>
      <c r="H80">
        <v>186135</v>
      </c>
    </row>
    <row r="81" spans="1:8" x14ac:dyDescent="0.3">
      <c r="A81">
        <v>79</v>
      </c>
      <c r="B81">
        <v>3538</v>
      </c>
      <c r="C81">
        <v>27</v>
      </c>
      <c r="D81" t="s">
        <v>11</v>
      </c>
      <c r="E81" t="b">
        <v>0</v>
      </c>
      <c r="F81" s="1">
        <v>41441</v>
      </c>
      <c r="G81">
        <v>12</v>
      </c>
      <c r="H81">
        <v>107313</v>
      </c>
    </row>
    <row r="82" spans="1:8" x14ac:dyDescent="0.3">
      <c r="A82">
        <v>80</v>
      </c>
      <c r="B82">
        <v>5826</v>
      </c>
      <c r="C82">
        <v>48</v>
      </c>
      <c r="D82" t="s">
        <v>11</v>
      </c>
      <c r="E82" t="b">
        <v>0</v>
      </c>
      <c r="F82" s="1">
        <v>27334</v>
      </c>
      <c r="G82">
        <v>23</v>
      </c>
      <c r="H82">
        <v>189726</v>
      </c>
    </row>
    <row r="83" spans="1:8" x14ac:dyDescent="0.3">
      <c r="A83">
        <v>81</v>
      </c>
      <c r="B83">
        <v>6108</v>
      </c>
      <c r="C83">
        <v>45</v>
      </c>
      <c r="D83" t="s">
        <v>11</v>
      </c>
      <c r="E83" t="b">
        <v>1</v>
      </c>
      <c r="F83" s="1">
        <v>41237</v>
      </c>
      <c r="G83">
        <v>21</v>
      </c>
      <c r="H83">
        <v>171530</v>
      </c>
    </row>
    <row r="84" spans="1:8" x14ac:dyDescent="0.3">
      <c r="A84">
        <v>82</v>
      </c>
      <c r="B84">
        <v>2867</v>
      </c>
      <c r="C84">
        <v>64</v>
      </c>
      <c r="D84" t="s">
        <v>10</v>
      </c>
      <c r="E84" t="b">
        <v>0</v>
      </c>
      <c r="F84" s="1">
        <v>42227</v>
      </c>
      <c r="G84">
        <v>34</v>
      </c>
      <c r="H84">
        <v>271935</v>
      </c>
    </row>
    <row r="85" spans="1:8" x14ac:dyDescent="0.3">
      <c r="A85">
        <v>83</v>
      </c>
      <c r="B85">
        <v>4495</v>
      </c>
      <c r="C85">
        <v>53</v>
      </c>
      <c r="D85" t="s">
        <v>10</v>
      </c>
      <c r="E85" t="b">
        <v>1</v>
      </c>
      <c r="F85" s="1">
        <v>27962</v>
      </c>
      <c r="G85">
        <v>29</v>
      </c>
      <c r="H85">
        <v>234900</v>
      </c>
    </row>
    <row r="86" spans="1:8" x14ac:dyDescent="0.3">
      <c r="A86">
        <v>84</v>
      </c>
      <c r="B86">
        <v>9750</v>
      </c>
      <c r="C86">
        <v>49</v>
      </c>
      <c r="D86" t="s">
        <v>8</v>
      </c>
      <c r="E86" t="b">
        <v>0</v>
      </c>
      <c r="F86" s="1">
        <v>39717</v>
      </c>
      <c r="G86">
        <v>23</v>
      </c>
      <c r="H86">
        <v>181290</v>
      </c>
    </row>
    <row r="87" spans="1:8" x14ac:dyDescent="0.3">
      <c r="A87">
        <v>85</v>
      </c>
      <c r="B87">
        <v>9243</v>
      </c>
      <c r="C87">
        <v>60</v>
      </c>
      <c r="D87" t="s">
        <v>9</v>
      </c>
      <c r="E87" t="b">
        <v>0</v>
      </c>
      <c r="F87" s="1">
        <v>35165</v>
      </c>
      <c r="G87">
        <v>31</v>
      </c>
      <c r="H87">
        <v>246555</v>
      </c>
    </row>
    <row r="88" spans="1:8" x14ac:dyDescent="0.3">
      <c r="A88">
        <v>86</v>
      </c>
      <c r="B88">
        <v>8462</v>
      </c>
      <c r="C88">
        <v>51</v>
      </c>
      <c r="D88" t="s">
        <v>8</v>
      </c>
      <c r="E88" t="b">
        <v>1</v>
      </c>
      <c r="F88" s="1">
        <v>35533</v>
      </c>
      <c r="G88">
        <v>24</v>
      </c>
      <c r="H88">
        <v>191660</v>
      </c>
    </row>
    <row r="89" spans="1:8" x14ac:dyDescent="0.3">
      <c r="A89">
        <v>87</v>
      </c>
      <c r="B89">
        <v>8247</v>
      </c>
      <c r="C89">
        <v>22</v>
      </c>
      <c r="D89" t="s">
        <v>9</v>
      </c>
      <c r="E89" t="b">
        <v>1</v>
      </c>
      <c r="F89" s="1">
        <v>38128</v>
      </c>
      <c r="G89">
        <v>14</v>
      </c>
      <c r="H89">
        <v>111511</v>
      </c>
    </row>
    <row r="90" spans="1:8" x14ac:dyDescent="0.3">
      <c r="A90">
        <v>88</v>
      </c>
      <c r="B90">
        <v>3054</v>
      </c>
      <c r="C90">
        <v>43</v>
      </c>
      <c r="D90" t="s">
        <v>12</v>
      </c>
      <c r="E90" t="b">
        <v>1</v>
      </c>
      <c r="F90" s="1">
        <v>44150</v>
      </c>
      <c r="G90">
        <v>19</v>
      </c>
      <c r="H90">
        <v>148439</v>
      </c>
    </row>
    <row r="91" spans="1:8" x14ac:dyDescent="0.3">
      <c r="A91">
        <v>89</v>
      </c>
      <c r="B91">
        <v>3988</v>
      </c>
      <c r="C91">
        <v>31</v>
      </c>
      <c r="D91" t="s">
        <v>11</v>
      </c>
      <c r="E91" t="b">
        <v>1</v>
      </c>
      <c r="F91" s="1">
        <v>32710</v>
      </c>
      <c r="G91">
        <v>15</v>
      </c>
      <c r="H91">
        <v>120884</v>
      </c>
    </row>
    <row r="92" spans="1:8" x14ac:dyDescent="0.3">
      <c r="A92">
        <v>90</v>
      </c>
      <c r="B92">
        <v>3300</v>
      </c>
      <c r="C92">
        <v>26</v>
      </c>
      <c r="D92" t="s">
        <v>9</v>
      </c>
      <c r="E92" t="b">
        <v>1</v>
      </c>
      <c r="F92" s="1">
        <v>45931</v>
      </c>
      <c r="G92">
        <v>12</v>
      </c>
      <c r="H92">
        <v>94805</v>
      </c>
    </row>
    <row r="93" spans="1:8" x14ac:dyDescent="0.3">
      <c r="A93">
        <v>91</v>
      </c>
      <c r="B93">
        <v>9343</v>
      </c>
      <c r="C93">
        <v>27</v>
      </c>
      <c r="D93" t="s">
        <v>9</v>
      </c>
      <c r="E93" t="b">
        <v>0</v>
      </c>
      <c r="F93" s="1">
        <v>29951</v>
      </c>
      <c r="G93">
        <v>13</v>
      </c>
      <c r="H93">
        <v>97135</v>
      </c>
    </row>
    <row r="94" spans="1:8" x14ac:dyDescent="0.3">
      <c r="A94">
        <v>92</v>
      </c>
      <c r="B94">
        <v>4183</v>
      </c>
      <c r="C94">
        <v>52</v>
      </c>
      <c r="D94" t="s">
        <v>12</v>
      </c>
      <c r="E94" t="b">
        <v>0</v>
      </c>
      <c r="F94" s="1">
        <v>38835</v>
      </c>
      <c r="G94">
        <v>29</v>
      </c>
      <c r="H94">
        <v>220820</v>
      </c>
    </row>
    <row r="95" spans="1:8" x14ac:dyDescent="0.3">
      <c r="A95">
        <v>93</v>
      </c>
      <c r="B95">
        <v>4933</v>
      </c>
      <c r="C95">
        <v>31</v>
      </c>
      <c r="D95" t="s">
        <v>10</v>
      </c>
      <c r="E95" t="b">
        <v>1</v>
      </c>
      <c r="F95" s="1">
        <v>41629</v>
      </c>
      <c r="G95">
        <v>14</v>
      </c>
      <c r="H95">
        <v>118043</v>
      </c>
    </row>
    <row r="96" spans="1:8" x14ac:dyDescent="0.3">
      <c r="A96">
        <v>94</v>
      </c>
      <c r="B96">
        <v>7374</v>
      </c>
      <c r="C96">
        <v>52</v>
      </c>
      <c r="D96" t="s">
        <v>11</v>
      </c>
      <c r="E96" t="b">
        <v>0</v>
      </c>
      <c r="F96" s="1">
        <v>39856</v>
      </c>
      <c r="G96">
        <v>27</v>
      </c>
      <c r="H96">
        <v>223315</v>
      </c>
    </row>
    <row r="97" spans="1:8" x14ac:dyDescent="0.3">
      <c r="A97">
        <v>95</v>
      </c>
      <c r="B97">
        <v>1082</v>
      </c>
      <c r="C97">
        <v>61</v>
      </c>
      <c r="D97" t="s">
        <v>8</v>
      </c>
      <c r="E97" t="b">
        <v>1</v>
      </c>
      <c r="F97" s="1">
        <v>37988</v>
      </c>
      <c r="G97">
        <v>30</v>
      </c>
      <c r="H97">
        <v>246738</v>
      </c>
    </row>
    <row r="98" spans="1:8" x14ac:dyDescent="0.3">
      <c r="A98">
        <v>96</v>
      </c>
      <c r="B98">
        <v>4204</v>
      </c>
      <c r="C98">
        <v>52</v>
      </c>
      <c r="D98" t="s">
        <v>8</v>
      </c>
      <c r="E98" t="b">
        <v>0</v>
      </c>
      <c r="F98" s="1">
        <v>43322</v>
      </c>
      <c r="G98">
        <v>24</v>
      </c>
      <c r="H98">
        <v>191082</v>
      </c>
    </row>
    <row r="99" spans="1:8" x14ac:dyDescent="0.3">
      <c r="A99">
        <v>97</v>
      </c>
      <c r="B99">
        <v>9015</v>
      </c>
      <c r="C99">
        <v>59</v>
      </c>
      <c r="D99" t="s">
        <v>8</v>
      </c>
      <c r="E99" t="b">
        <v>0</v>
      </c>
      <c r="F99" s="1">
        <v>42954</v>
      </c>
      <c r="G99">
        <v>28</v>
      </c>
      <c r="H99">
        <v>225302</v>
      </c>
    </row>
    <row r="100" spans="1:8" x14ac:dyDescent="0.3">
      <c r="A100">
        <v>98</v>
      </c>
      <c r="B100">
        <v>1706</v>
      </c>
      <c r="C100">
        <v>40</v>
      </c>
      <c r="D100" t="s">
        <v>12</v>
      </c>
      <c r="E100" t="b">
        <v>0</v>
      </c>
      <c r="F100" s="1">
        <v>45187</v>
      </c>
      <c r="G100">
        <v>18</v>
      </c>
      <c r="H100">
        <v>142093</v>
      </c>
    </row>
    <row r="101" spans="1:8" x14ac:dyDescent="0.3">
      <c r="A101">
        <v>99</v>
      </c>
      <c r="B101">
        <v>3873</v>
      </c>
      <c r="C101">
        <v>46</v>
      </c>
      <c r="D101" t="s">
        <v>12</v>
      </c>
      <c r="E101" t="b">
        <v>1</v>
      </c>
      <c r="F101" s="1">
        <v>38541</v>
      </c>
      <c r="G101">
        <v>19</v>
      </c>
      <c r="H101">
        <v>156162</v>
      </c>
    </row>
    <row r="102" spans="1:8" x14ac:dyDescent="0.3">
      <c r="A102">
        <v>100</v>
      </c>
      <c r="B102">
        <v>3229</v>
      </c>
      <c r="C102">
        <v>35</v>
      </c>
      <c r="D102" t="s">
        <v>9</v>
      </c>
      <c r="E102" t="b">
        <v>1</v>
      </c>
      <c r="F102" s="1">
        <v>45670</v>
      </c>
      <c r="G102">
        <v>17</v>
      </c>
      <c r="H102">
        <v>134816</v>
      </c>
    </row>
    <row r="103" spans="1:8" x14ac:dyDescent="0.3">
      <c r="A103">
        <v>101</v>
      </c>
      <c r="B103">
        <v>6665</v>
      </c>
      <c r="C103">
        <v>40</v>
      </c>
      <c r="D103" t="s">
        <v>11</v>
      </c>
      <c r="E103" t="b">
        <v>0</v>
      </c>
      <c r="F103" s="1">
        <v>31288</v>
      </c>
      <c r="G103">
        <v>15</v>
      </c>
      <c r="H103">
        <v>122745</v>
      </c>
    </row>
    <row r="104" spans="1:8" x14ac:dyDescent="0.3">
      <c r="A104">
        <v>102</v>
      </c>
      <c r="B104">
        <v>4680</v>
      </c>
      <c r="C104">
        <v>40</v>
      </c>
      <c r="D104" t="s">
        <v>11</v>
      </c>
      <c r="E104" t="b">
        <v>1</v>
      </c>
      <c r="F104" s="1">
        <v>30839</v>
      </c>
      <c r="G104">
        <v>24</v>
      </c>
      <c r="H104">
        <v>186453</v>
      </c>
    </row>
    <row r="105" spans="1:8" x14ac:dyDescent="0.3">
      <c r="A105">
        <v>103</v>
      </c>
      <c r="B105">
        <v>1002</v>
      </c>
      <c r="C105">
        <v>48</v>
      </c>
      <c r="D105" t="s">
        <v>12</v>
      </c>
      <c r="E105" t="b">
        <v>0</v>
      </c>
      <c r="F105" s="1">
        <v>41468</v>
      </c>
      <c r="G105">
        <v>25</v>
      </c>
      <c r="H105">
        <v>199561</v>
      </c>
    </row>
    <row r="106" spans="1:8" x14ac:dyDescent="0.3">
      <c r="A106">
        <v>104</v>
      </c>
      <c r="B106">
        <v>1137</v>
      </c>
      <c r="C106">
        <v>54</v>
      </c>
      <c r="D106" t="s">
        <v>10</v>
      </c>
      <c r="E106" t="b">
        <v>1</v>
      </c>
      <c r="F106" s="1">
        <v>33349</v>
      </c>
      <c r="G106">
        <v>25</v>
      </c>
      <c r="H106">
        <v>204293</v>
      </c>
    </row>
    <row r="107" spans="1:8" x14ac:dyDescent="0.3">
      <c r="A107">
        <v>105</v>
      </c>
      <c r="B107">
        <v>7922</v>
      </c>
      <c r="C107">
        <v>58</v>
      </c>
      <c r="D107" t="s">
        <v>11</v>
      </c>
      <c r="E107" t="b">
        <v>1</v>
      </c>
      <c r="F107" s="1">
        <v>27661</v>
      </c>
      <c r="G107">
        <v>30</v>
      </c>
      <c r="H107">
        <v>242531</v>
      </c>
    </row>
    <row r="108" spans="1:8" x14ac:dyDescent="0.3">
      <c r="A108">
        <v>106</v>
      </c>
      <c r="B108">
        <v>3307</v>
      </c>
      <c r="C108">
        <v>25</v>
      </c>
      <c r="D108" t="s">
        <v>12</v>
      </c>
      <c r="E108" t="b">
        <v>1</v>
      </c>
      <c r="F108" s="1">
        <v>31903</v>
      </c>
      <c r="G108">
        <v>12</v>
      </c>
      <c r="H108">
        <v>103111</v>
      </c>
    </row>
    <row r="109" spans="1:8" x14ac:dyDescent="0.3">
      <c r="A109">
        <v>107</v>
      </c>
      <c r="B109">
        <v>8235</v>
      </c>
      <c r="C109">
        <v>53</v>
      </c>
      <c r="D109" t="s">
        <v>11</v>
      </c>
      <c r="E109" t="b">
        <v>1</v>
      </c>
      <c r="F109" s="1">
        <v>35608</v>
      </c>
      <c r="G109">
        <v>30</v>
      </c>
      <c r="H109">
        <v>237496</v>
      </c>
    </row>
    <row r="110" spans="1:8" x14ac:dyDescent="0.3">
      <c r="A110">
        <v>108</v>
      </c>
      <c r="B110">
        <v>9113</v>
      </c>
      <c r="C110">
        <v>50</v>
      </c>
      <c r="D110" t="s">
        <v>9</v>
      </c>
      <c r="E110" t="b">
        <v>0</v>
      </c>
      <c r="F110" s="1">
        <v>44783</v>
      </c>
      <c r="G110">
        <v>24</v>
      </c>
      <c r="H110">
        <v>193765</v>
      </c>
    </row>
    <row r="111" spans="1:8" x14ac:dyDescent="0.3">
      <c r="A111">
        <v>109</v>
      </c>
      <c r="B111">
        <v>6545</v>
      </c>
      <c r="C111">
        <v>63</v>
      </c>
      <c r="D111" t="s">
        <v>11</v>
      </c>
      <c r="E111" t="b">
        <v>0</v>
      </c>
      <c r="F111" s="1">
        <v>35389</v>
      </c>
      <c r="G111">
        <v>30</v>
      </c>
      <c r="H111">
        <v>240281</v>
      </c>
    </row>
    <row r="112" spans="1:8" x14ac:dyDescent="0.3">
      <c r="A112">
        <v>110</v>
      </c>
      <c r="B112">
        <v>4987</v>
      </c>
      <c r="C112">
        <v>54</v>
      </c>
      <c r="D112" t="s">
        <v>8</v>
      </c>
      <c r="E112" t="b">
        <v>0</v>
      </c>
      <c r="F112" s="1">
        <v>28723</v>
      </c>
      <c r="G112">
        <v>22</v>
      </c>
      <c r="H112">
        <v>176659</v>
      </c>
    </row>
    <row r="113" spans="1:8" x14ac:dyDescent="0.3">
      <c r="A113">
        <v>111</v>
      </c>
      <c r="B113">
        <v>9111</v>
      </c>
      <c r="C113">
        <v>58</v>
      </c>
      <c r="D113" t="s">
        <v>12</v>
      </c>
      <c r="E113" t="b">
        <v>1</v>
      </c>
      <c r="F113" s="1">
        <v>31169</v>
      </c>
      <c r="G113">
        <v>30</v>
      </c>
      <c r="H113">
        <v>244973</v>
      </c>
    </row>
    <row r="114" spans="1:8" x14ac:dyDescent="0.3">
      <c r="A114">
        <v>112</v>
      </c>
      <c r="B114">
        <v>1061</v>
      </c>
      <c r="C114">
        <v>37</v>
      </c>
      <c r="D114" t="s">
        <v>9</v>
      </c>
      <c r="E114" t="b">
        <v>0</v>
      </c>
      <c r="F114" s="1">
        <v>30961</v>
      </c>
      <c r="G114">
        <v>20</v>
      </c>
      <c r="H114">
        <v>160566</v>
      </c>
    </row>
    <row r="115" spans="1:8" x14ac:dyDescent="0.3">
      <c r="A115">
        <v>113</v>
      </c>
      <c r="B115">
        <v>6101</v>
      </c>
      <c r="C115">
        <v>43</v>
      </c>
      <c r="D115" t="s">
        <v>12</v>
      </c>
      <c r="E115" t="b">
        <v>1</v>
      </c>
      <c r="F115" s="1">
        <v>39304</v>
      </c>
      <c r="G115">
        <v>23</v>
      </c>
      <c r="H115">
        <v>177312</v>
      </c>
    </row>
    <row r="116" spans="1:8" x14ac:dyDescent="0.3">
      <c r="A116">
        <v>114</v>
      </c>
      <c r="B116">
        <v>5338</v>
      </c>
      <c r="C116">
        <v>24</v>
      </c>
      <c r="D116" t="s">
        <v>10</v>
      </c>
      <c r="E116" t="b">
        <v>0</v>
      </c>
      <c r="F116" s="1">
        <v>42588</v>
      </c>
      <c r="G116">
        <v>12</v>
      </c>
      <c r="H116">
        <v>92967</v>
      </c>
    </row>
    <row r="117" spans="1:8" x14ac:dyDescent="0.3">
      <c r="A117">
        <v>115</v>
      </c>
      <c r="B117">
        <v>3697</v>
      </c>
      <c r="C117">
        <v>46</v>
      </c>
      <c r="D117" t="s">
        <v>10</v>
      </c>
      <c r="E117" t="b">
        <v>0</v>
      </c>
      <c r="F117" s="1">
        <v>37488</v>
      </c>
      <c r="G117">
        <v>25</v>
      </c>
      <c r="H117">
        <v>208044</v>
      </c>
    </row>
    <row r="118" spans="1:8" x14ac:dyDescent="0.3">
      <c r="A118">
        <v>116</v>
      </c>
      <c r="B118">
        <v>6704</v>
      </c>
      <c r="C118">
        <v>60</v>
      </c>
      <c r="D118" t="s">
        <v>8</v>
      </c>
      <c r="E118" t="b">
        <v>0</v>
      </c>
      <c r="F118" s="1">
        <v>40190</v>
      </c>
      <c r="G118">
        <v>29</v>
      </c>
      <c r="H118">
        <v>225723</v>
      </c>
    </row>
    <row r="119" spans="1:8" x14ac:dyDescent="0.3">
      <c r="A119">
        <v>117</v>
      </c>
      <c r="B119">
        <v>1819</v>
      </c>
      <c r="C119">
        <v>61</v>
      </c>
      <c r="D119" t="s">
        <v>12</v>
      </c>
      <c r="E119" t="b">
        <v>0</v>
      </c>
      <c r="F119" s="1">
        <v>40944</v>
      </c>
      <c r="G119">
        <v>26</v>
      </c>
      <c r="H119">
        <v>208426</v>
      </c>
    </row>
    <row r="120" spans="1:8" x14ac:dyDescent="0.3">
      <c r="A120">
        <v>118</v>
      </c>
      <c r="B120">
        <v>4425</v>
      </c>
      <c r="C120">
        <v>61</v>
      </c>
      <c r="D120" t="s">
        <v>12</v>
      </c>
      <c r="E120" t="b">
        <v>0</v>
      </c>
      <c r="F120" s="1">
        <v>28786</v>
      </c>
      <c r="G120">
        <v>35</v>
      </c>
      <c r="H120">
        <v>279946</v>
      </c>
    </row>
    <row r="121" spans="1:8" x14ac:dyDescent="0.3">
      <c r="A121">
        <v>119</v>
      </c>
      <c r="B121">
        <v>2499</v>
      </c>
      <c r="C121">
        <v>29</v>
      </c>
      <c r="D121" t="s">
        <v>8</v>
      </c>
      <c r="E121" t="b">
        <v>1</v>
      </c>
      <c r="F121" s="1">
        <v>39014</v>
      </c>
      <c r="G121">
        <v>16</v>
      </c>
      <c r="H121">
        <v>129970</v>
      </c>
    </row>
    <row r="122" spans="1:8" x14ac:dyDescent="0.3">
      <c r="A122">
        <v>120</v>
      </c>
      <c r="B122">
        <v>4801</v>
      </c>
      <c r="C122">
        <v>54</v>
      </c>
      <c r="D122" t="s">
        <v>11</v>
      </c>
      <c r="E122" t="b">
        <v>0</v>
      </c>
      <c r="F122" s="1">
        <v>31147</v>
      </c>
      <c r="G122">
        <v>28</v>
      </c>
      <c r="H122">
        <v>225408</v>
      </c>
    </row>
    <row r="123" spans="1:8" x14ac:dyDescent="0.3">
      <c r="A123">
        <v>121</v>
      </c>
      <c r="B123">
        <v>8001</v>
      </c>
      <c r="C123">
        <v>32</v>
      </c>
      <c r="D123" t="s">
        <v>12</v>
      </c>
      <c r="E123" t="b">
        <v>0</v>
      </c>
      <c r="F123" s="1">
        <v>38851</v>
      </c>
      <c r="G123">
        <v>16</v>
      </c>
      <c r="H123">
        <v>125760</v>
      </c>
    </row>
    <row r="124" spans="1:8" x14ac:dyDescent="0.3">
      <c r="A124">
        <v>122</v>
      </c>
      <c r="B124">
        <v>5263</v>
      </c>
      <c r="C124">
        <v>28</v>
      </c>
      <c r="D124" t="s">
        <v>9</v>
      </c>
      <c r="E124" t="b">
        <v>1</v>
      </c>
      <c r="F124" s="1">
        <v>38841</v>
      </c>
      <c r="G124">
        <v>12</v>
      </c>
      <c r="H124">
        <v>92056</v>
      </c>
    </row>
    <row r="125" spans="1:8" x14ac:dyDescent="0.3">
      <c r="A125">
        <v>123</v>
      </c>
      <c r="B125">
        <v>7486</v>
      </c>
      <c r="C125">
        <v>45</v>
      </c>
      <c r="D125" t="s">
        <v>12</v>
      </c>
      <c r="E125" t="b">
        <v>1</v>
      </c>
      <c r="F125" s="1">
        <v>43095</v>
      </c>
      <c r="G125">
        <v>23</v>
      </c>
      <c r="H125">
        <v>186546</v>
      </c>
    </row>
    <row r="126" spans="1:8" x14ac:dyDescent="0.3">
      <c r="A126">
        <v>124</v>
      </c>
      <c r="B126">
        <v>3717</v>
      </c>
      <c r="C126">
        <v>58</v>
      </c>
      <c r="D126" t="s">
        <v>9</v>
      </c>
      <c r="E126" t="b">
        <v>0</v>
      </c>
      <c r="F126" s="1">
        <v>43957</v>
      </c>
      <c r="G126">
        <v>26</v>
      </c>
      <c r="H126">
        <v>215978</v>
      </c>
    </row>
    <row r="127" spans="1:8" x14ac:dyDescent="0.3">
      <c r="A127">
        <v>125</v>
      </c>
      <c r="B127">
        <v>1861</v>
      </c>
      <c r="C127">
        <v>48</v>
      </c>
      <c r="D127" t="s">
        <v>10</v>
      </c>
      <c r="E127" t="b">
        <v>1</v>
      </c>
      <c r="F127" s="1">
        <v>28952</v>
      </c>
      <c r="G127">
        <v>25</v>
      </c>
      <c r="H127">
        <v>185892</v>
      </c>
    </row>
    <row r="128" spans="1:8" x14ac:dyDescent="0.3">
      <c r="A128">
        <v>126</v>
      </c>
      <c r="B128">
        <v>1204</v>
      </c>
      <c r="C128">
        <v>40</v>
      </c>
      <c r="D128" t="s">
        <v>11</v>
      </c>
      <c r="E128" t="b">
        <v>0</v>
      </c>
      <c r="F128" s="1">
        <v>29902</v>
      </c>
      <c r="G128">
        <v>21</v>
      </c>
      <c r="H128">
        <v>158986</v>
      </c>
    </row>
    <row r="129" spans="1:8" x14ac:dyDescent="0.3">
      <c r="A129">
        <v>127</v>
      </c>
      <c r="B129">
        <v>8608</v>
      </c>
      <c r="C129">
        <v>55</v>
      </c>
      <c r="D129" t="s">
        <v>8</v>
      </c>
      <c r="E129" t="b">
        <v>1</v>
      </c>
      <c r="F129" s="1">
        <v>43164</v>
      </c>
      <c r="G129">
        <v>26</v>
      </c>
      <c r="H129">
        <v>202823</v>
      </c>
    </row>
    <row r="130" spans="1:8" x14ac:dyDescent="0.3">
      <c r="A130">
        <v>128</v>
      </c>
      <c r="B130">
        <v>9278</v>
      </c>
      <c r="C130">
        <v>56</v>
      </c>
      <c r="D130" t="s">
        <v>11</v>
      </c>
      <c r="E130" t="b">
        <v>0</v>
      </c>
      <c r="F130" s="1">
        <v>30923</v>
      </c>
      <c r="G130">
        <v>25</v>
      </c>
      <c r="H130">
        <v>198549</v>
      </c>
    </row>
    <row r="131" spans="1:8" x14ac:dyDescent="0.3">
      <c r="A131">
        <v>129</v>
      </c>
      <c r="B131">
        <v>1084</v>
      </c>
      <c r="C131">
        <v>32</v>
      </c>
      <c r="D131" t="s">
        <v>9</v>
      </c>
      <c r="E131" t="b">
        <v>1</v>
      </c>
      <c r="F131" s="1">
        <v>43210</v>
      </c>
      <c r="G131">
        <v>17</v>
      </c>
      <c r="H131">
        <v>142300</v>
      </c>
    </row>
    <row r="132" spans="1:8" x14ac:dyDescent="0.3">
      <c r="A132">
        <v>130</v>
      </c>
      <c r="B132">
        <v>3305</v>
      </c>
      <c r="C132">
        <v>63</v>
      </c>
      <c r="D132" t="s">
        <v>12</v>
      </c>
      <c r="E132" t="b">
        <v>1</v>
      </c>
      <c r="F132" s="1">
        <v>42630</v>
      </c>
      <c r="G132">
        <v>29</v>
      </c>
      <c r="H132">
        <v>232577</v>
      </c>
    </row>
    <row r="133" spans="1:8" x14ac:dyDescent="0.3">
      <c r="A133">
        <v>131</v>
      </c>
      <c r="B133">
        <v>1262</v>
      </c>
      <c r="C133">
        <v>49</v>
      </c>
      <c r="D133" t="s">
        <v>8</v>
      </c>
      <c r="E133" t="b">
        <v>1</v>
      </c>
      <c r="F133" s="1">
        <v>37743</v>
      </c>
      <c r="G133">
        <v>24</v>
      </c>
      <c r="H133">
        <v>196293</v>
      </c>
    </row>
    <row r="134" spans="1:8" x14ac:dyDescent="0.3">
      <c r="A134">
        <v>132</v>
      </c>
      <c r="B134">
        <v>2478</v>
      </c>
      <c r="C134">
        <v>40</v>
      </c>
      <c r="D134" t="s">
        <v>10</v>
      </c>
      <c r="E134" t="b">
        <v>0</v>
      </c>
      <c r="F134" s="1">
        <v>40333</v>
      </c>
      <c r="G134">
        <v>23</v>
      </c>
      <c r="H134">
        <v>185268</v>
      </c>
    </row>
    <row r="135" spans="1:8" x14ac:dyDescent="0.3">
      <c r="A135">
        <v>133</v>
      </c>
      <c r="B135">
        <v>4357</v>
      </c>
      <c r="C135">
        <v>41</v>
      </c>
      <c r="D135" t="s">
        <v>8</v>
      </c>
      <c r="E135" t="b">
        <v>0</v>
      </c>
      <c r="F135" s="1">
        <v>42834</v>
      </c>
      <c r="G135">
        <v>20</v>
      </c>
      <c r="H135">
        <v>166636</v>
      </c>
    </row>
    <row r="136" spans="1:8" x14ac:dyDescent="0.3">
      <c r="A136">
        <v>134</v>
      </c>
      <c r="B136">
        <v>1802</v>
      </c>
      <c r="C136">
        <v>22</v>
      </c>
      <c r="D136" t="s">
        <v>8</v>
      </c>
      <c r="E136" t="b">
        <v>0</v>
      </c>
      <c r="F136" s="1">
        <v>32638</v>
      </c>
      <c r="G136">
        <v>12</v>
      </c>
      <c r="H136">
        <v>94300</v>
      </c>
    </row>
    <row r="137" spans="1:8" x14ac:dyDescent="0.3">
      <c r="A137">
        <v>135</v>
      </c>
      <c r="B137">
        <v>4666</v>
      </c>
      <c r="C137">
        <v>49</v>
      </c>
      <c r="D137" t="s">
        <v>10</v>
      </c>
      <c r="E137" t="b">
        <v>1</v>
      </c>
      <c r="F137" s="1">
        <v>41858</v>
      </c>
      <c r="G137">
        <v>25</v>
      </c>
      <c r="H137">
        <v>198827</v>
      </c>
    </row>
    <row r="138" spans="1:8" x14ac:dyDescent="0.3">
      <c r="A138">
        <v>136</v>
      </c>
      <c r="B138">
        <v>7327</v>
      </c>
      <c r="C138">
        <v>44</v>
      </c>
      <c r="D138" t="s">
        <v>8</v>
      </c>
      <c r="E138" t="b">
        <v>1</v>
      </c>
      <c r="F138" s="1">
        <v>30401</v>
      </c>
      <c r="G138">
        <v>25</v>
      </c>
      <c r="H138">
        <v>190600</v>
      </c>
    </row>
    <row r="139" spans="1:8" x14ac:dyDescent="0.3">
      <c r="A139">
        <v>137</v>
      </c>
      <c r="B139">
        <v>5722</v>
      </c>
      <c r="C139">
        <v>43</v>
      </c>
      <c r="D139" t="s">
        <v>11</v>
      </c>
      <c r="E139" t="b">
        <v>1</v>
      </c>
      <c r="F139" s="1">
        <v>30553</v>
      </c>
      <c r="G139">
        <v>24</v>
      </c>
      <c r="H139">
        <v>187430</v>
      </c>
    </row>
    <row r="140" spans="1:8" x14ac:dyDescent="0.3">
      <c r="A140">
        <v>138</v>
      </c>
      <c r="B140">
        <v>8172</v>
      </c>
      <c r="C140">
        <v>45</v>
      </c>
      <c r="D140" t="s">
        <v>8</v>
      </c>
      <c r="E140" t="b">
        <v>0</v>
      </c>
      <c r="F140" s="1">
        <v>41746</v>
      </c>
      <c r="G140">
        <v>21</v>
      </c>
      <c r="H140">
        <v>166573</v>
      </c>
    </row>
    <row r="141" spans="1:8" x14ac:dyDescent="0.3">
      <c r="A141">
        <v>139</v>
      </c>
      <c r="B141">
        <v>2391</v>
      </c>
      <c r="C141">
        <v>49</v>
      </c>
      <c r="D141" t="s">
        <v>11</v>
      </c>
      <c r="E141" t="b">
        <v>1</v>
      </c>
      <c r="F141" s="1">
        <v>33181</v>
      </c>
      <c r="G141">
        <v>22</v>
      </c>
      <c r="H141">
        <v>176961</v>
      </c>
    </row>
    <row r="142" spans="1:8" x14ac:dyDescent="0.3">
      <c r="A142">
        <v>140</v>
      </c>
      <c r="B142">
        <v>3536</v>
      </c>
      <c r="C142">
        <v>54</v>
      </c>
      <c r="D142" t="s">
        <v>12</v>
      </c>
      <c r="E142" t="b">
        <v>1</v>
      </c>
      <c r="F142" s="1">
        <v>39501</v>
      </c>
      <c r="G142">
        <v>25</v>
      </c>
      <c r="H142">
        <v>206014</v>
      </c>
    </row>
    <row r="143" spans="1:8" x14ac:dyDescent="0.3">
      <c r="A143">
        <v>141</v>
      </c>
      <c r="B143">
        <v>7770</v>
      </c>
      <c r="C143">
        <v>43</v>
      </c>
      <c r="D143" t="s">
        <v>9</v>
      </c>
      <c r="E143" t="b">
        <v>1</v>
      </c>
      <c r="F143" s="1">
        <v>27694</v>
      </c>
      <c r="G143">
        <v>21</v>
      </c>
      <c r="H143">
        <v>167653</v>
      </c>
    </row>
    <row r="144" spans="1:8" x14ac:dyDescent="0.3">
      <c r="A144">
        <v>142</v>
      </c>
      <c r="B144">
        <v>1571</v>
      </c>
      <c r="C144">
        <v>34</v>
      </c>
      <c r="D144" t="s">
        <v>12</v>
      </c>
      <c r="E144" t="b">
        <v>0</v>
      </c>
      <c r="F144" s="1">
        <v>37686</v>
      </c>
      <c r="G144">
        <v>17</v>
      </c>
      <c r="H144">
        <v>138491</v>
      </c>
    </row>
    <row r="145" spans="1:8" x14ac:dyDescent="0.3">
      <c r="A145">
        <v>143</v>
      </c>
      <c r="B145">
        <v>2558</v>
      </c>
      <c r="C145">
        <v>29</v>
      </c>
      <c r="D145" t="s">
        <v>10</v>
      </c>
      <c r="E145" t="b">
        <v>1</v>
      </c>
      <c r="F145" s="1">
        <v>27772</v>
      </c>
      <c r="G145">
        <v>14</v>
      </c>
      <c r="H145">
        <v>113663</v>
      </c>
    </row>
    <row r="146" spans="1:8" x14ac:dyDescent="0.3">
      <c r="A146">
        <v>144</v>
      </c>
      <c r="B146">
        <v>1197</v>
      </c>
      <c r="C146">
        <v>57</v>
      </c>
      <c r="D146" t="s">
        <v>9</v>
      </c>
      <c r="E146" t="b">
        <v>1</v>
      </c>
      <c r="F146" s="1">
        <v>38839</v>
      </c>
      <c r="G146">
        <v>25</v>
      </c>
      <c r="H146">
        <v>195286</v>
      </c>
    </row>
    <row r="147" spans="1:8" x14ac:dyDescent="0.3">
      <c r="A147">
        <v>145</v>
      </c>
      <c r="B147">
        <v>4842</v>
      </c>
      <c r="C147">
        <v>55</v>
      </c>
      <c r="D147" t="s">
        <v>9</v>
      </c>
      <c r="E147" t="b">
        <v>1</v>
      </c>
      <c r="F147" s="1">
        <v>35883</v>
      </c>
      <c r="G147">
        <v>27</v>
      </c>
      <c r="H147">
        <v>215637</v>
      </c>
    </row>
    <row r="148" spans="1:8" x14ac:dyDescent="0.3">
      <c r="A148">
        <v>146</v>
      </c>
      <c r="B148">
        <v>1809</v>
      </c>
      <c r="C148">
        <v>43</v>
      </c>
      <c r="D148" t="s">
        <v>8</v>
      </c>
      <c r="E148" t="b">
        <v>1</v>
      </c>
      <c r="F148" s="1">
        <v>37078</v>
      </c>
      <c r="G148">
        <v>21</v>
      </c>
      <c r="H148">
        <v>170164</v>
      </c>
    </row>
    <row r="149" spans="1:8" x14ac:dyDescent="0.3">
      <c r="A149">
        <v>147</v>
      </c>
      <c r="B149">
        <v>2304</v>
      </c>
      <c r="C149">
        <v>57</v>
      </c>
      <c r="D149" t="s">
        <v>10</v>
      </c>
      <c r="E149" t="b">
        <v>0</v>
      </c>
      <c r="F149" s="1">
        <v>33494</v>
      </c>
      <c r="G149">
        <v>30</v>
      </c>
      <c r="H149">
        <v>240851</v>
      </c>
    </row>
    <row r="150" spans="1:8" x14ac:dyDescent="0.3">
      <c r="A150">
        <v>148</v>
      </c>
      <c r="B150">
        <v>2759</v>
      </c>
      <c r="C150">
        <v>24</v>
      </c>
      <c r="D150" t="s">
        <v>12</v>
      </c>
      <c r="E150" t="b">
        <v>0</v>
      </c>
      <c r="F150" s="1">
        <v>43082</v>
      </c>
      <c r="G150">
        <v>9</v>
      </c>
      <c r="H150">
        <v>78650</v>
      </c>
    </row>
    <row r="151" spans="1:8" x14ac:dyDescent="0.3">
      <c r="A151">
        <v>149</v>
      </c>
      <c r="B151">
        <v>8278</v>
      </c>
      <c r="C151">
        <v>25</v>
      </c>
      <c r="D151" t="s">
        <v>9</v>
      </c>
      <c r="E151" t="b">
        <v>1</v>
      </c>
      <c r="F151" s="1">
        <v>30936</v>
      </c>
      <c r="G151">
        <v>13</v>
      </c>
      <c r="H151">
        <v>101767</v>
      </c>
    </row>
    <row r="152" spans="1:8" x14ac:dyDescent="0.3">
      <c r="A152">
        <v>150</v>
      </c>
      <c r="B152">
        <v>3797</v>
      </c>
      <c r="C152">
        <v>57</v>
      </c>
      <c r="D152" t="s">
        <v>10</v>
      </c>
      <c r="E152" t="b">
        <v>0</v>
      </c>
      <c r="F152" s="1">
        <v>36603</v>
      </c>
      <c r="G152">
        <v>30</v>
      </c>
      <c r="H152">
        <v>237787</v>
      </c>
    </row>
    <row r="153" spans="1:8" x14ac:dyDescent="0.3">
      <c r="A153">
        <v>151</v>
      </c>
      <c r="B153">
        <v>1475</v>
      </c>
      <c r="C153">
        <v>33</v>
      </c>
      <c r="D153" t="s">
        <v>10</v>
      </c>
      <c r="E153" t="b">
        <v>0</v>
      </c>
      <c r="F153" s="1">
        <v>28719</v>
      </c>
      <c r="G153">
        <v>15</v>
      </c>
      <c r="H153">
        <v>120289</v>
      </c>
    </row>
    <row r="154" spans="1:8" x14ac:dyDescent="0.3">
      <c r="A154">
        <v>152</v>
      </c>
      <c r="B154">
        <v>4165</v>
      </c>
      <c r="C154">
        <v>59</v>
      </c>
      <c r="D154" t="s">
        <v>11</v>
      </c>
      <c r="E154" t="b">
        <v>1</v>
      </c>
      <c r="F154" s="1">
        <v>26069</v>
      </c>
      <c r="G154">
        <v>29</v>
      </c>
      <c r="H154">
        <v>229854</v>
      </c>
    </row>
    <row r="155" spans="1:8" x14ac:dyDescent="0.3">
      <c r="A155">
        <v>153</v>
      </c>
      <c r="B155">
        <v>3292</v>
      </c>
      <c r="C155">
        <v>33</v>
      </c>
      <c r="D155" t="s">
        <v>12</v>
      </c>
      <c r="E155" t="b">
        <v>0</v>
      </c>
      <c r="F155" s="1">
        <v>42923</v>
      </c>
      <c r="G155">
        <v>16</v>
      </c>
      <c r="H155">
        <v>140462</v>
      </c>
    </row>
    <row r="156" spans="1:8" x14ac:dyDescent="0.3">
      <c r="A156">
        <v>154</v>
      </c>
      <c r="B156">
        <v>1740</v>
      </c>
      <c r="C156">
        <v>35</v>
      </c>
      <c r="D156" t="s">
        <v>9</v>
      </c>
      <c r="E156" t="b">
        <v>1</v>
      </c>
      <c r="F156" s="1">
        <v>38381</v>
      </c>
      <c r="G156">
        <v>17</v>
      </c>
      <c r="H156">
        <v>137966</v>
      </c>
    </row>
    <row r="157" spans="1:8" x14ac:dyDescent="0.3">
      <c r="A157">
        <v>155</v>
      </c>
      <c r="B157">
        <v>5139</v>
      </c>
      <c r="C157">
        <v>48</v>
      </c>
      <c r="D157" t="s">
        <v>11</v>
      </c>
      <c r="E157" t="b">
        <v>1</v>
      </c>
      <c r="F157" s="1">
        <v>30791</v>
      </c>
      <c r="G157">
        <v>26</v>
      </c>
      <c r="H157">
        <v>198685</v>
      </c>
    </row>
    <row r="158" spans="1:8" x14ac:dyDescent="0.3">
      <c r="A158">
        <v>156</v>
      </c>
      <c r="B158">
        <v>4522</v>
      </c>
      <c r="C158">
        <v>31</v>
      </c>
      <c r="D158" t="s">
        <v>10</v>
      </c>
      <c r="E158" t="b">
        <v>0</v>
      </c>
      <c r="F158" s="1">
        <v>35517</v>
      </c>
      <c r="G158">
        <v>13</v>
      </c>
      <c r="H158">
        <v>97639</v>
      </c>
    </row>
    <row r="159" spans="1:8" x14ac:dyDescent="0.3">
      <c r="A159">
        <v>157</v>
      </c>
      <c r="B159">
        <v>2227</v>
      </c>
      <c r="C159">
        <v>51</v>
      </c>
      <c r="D159" t="s">
        <v>9</v>
      </c>
      <c r="E159" t="b">
        <v>1</v>
      </c>
      <c r="F159" s="1">
        <v>28392</v>
      </c>
      <c r="G159">
        <v>27</v>
      </c>
      <c r="H159">
        <v>213234</v>
      </c>
    </row>
    <row r="160" spans="1:8" x14ac:dyDescent="0.3">
      <c r="A160">
        <v>158</v>
      </c>
      <c r="B160">
        <v>1859</v>
      </c>
      <c r="C160">
        <v>58</v>
      </c>
      <c r="D160" t="s">
        <v>8</v>
      </c>
      <c r="E160" t="b">
        <v>1</v>
      </c>
      <c r="F160" s="1">
        <v>42523</v>
      </c>
      <c r="G160">
        <v>27</v>
      </c>
      <c r="H160">
        <v>223033</v>
      </c>
    </row>
    <row r="161" spans="1:8" x14ac:dyDescent="0.3">
      <c r="A161">
        <v>159</v>
      </c>
      <c r="B161">
        <v>9580</v>
      </c>
      <c r="C161">
        <v>57</v>
      </c>
      <c r="D161" t="s">
        <v>8</v>
      </c>
      <c r="E161" t="b">
        <v>0</v>
      </c>
      <c r="F161" s="1">
        <v>37502</v>
      </c>
      <c r="G161">
        <v>30</v>
      </c>
      <c r="H161">
        <v>234249</v>
      </c>
    </row>
    <row r="162" spans="1:8" x14ac:dyDescent="0.3">
      <c r="A162">
        <v>160</v>
      </c>
      <c r="B162">
        <v>7166</v>
      </c>
      <c r="C162">
        <v>45</v>
      </c>
      <c r="D162" t="s">
        <v>11</v>
      </c>
      <c r="E162" t="b">
        <v>1</v>
      </c>
      <c r="F162" s="1">
        <v>27616</v>
      </c>
      <c r="G162">
        <v>21</v>
      </c>
      <c r="H162">
        <v>172147</v>
      </c>
    </row>
    <row r="163" spans="1:8" x14ac:dyDescent="0.3">
      <c r="A163">
        <v>161</v>
      </c>
      <c r="B163">
        <v>2383</v>
      </c>
      <c r="C163">
        <v>35</v>
      </c>
      <c r="D163" t="s">
        <v>11</v>
      </c>
      <c r="E163" t="b">
        <v>1</v>
      </c>
      <c r="F163" s="1">
        <v>26897</v>
      </c>
      <c r="G163">
        <v>14</v>
      </c>
      <c r="H163">
        <v>110715</v>
      </c>
    </row>
    <row r="164" spans="1:8" x14ac:dyDescent="0.3">
      <c r="A164">
        <v>162</v>
      </c>
      <c r="B164">
        <v>7950</v>
      </c>
      <c r="C164">
        <v>50</v>
      </c>
      <c r="D164" t="s">
        <v>12</v>
      </c>
      <c r="E164" t="b">
        <v>1</v>
      </c>
      <c r="F164" s="1">
        <v>33668</v>
      </c>
      <c r="G164">
        <v>23</v>
      </c>
      <c r="H164">
        <v>181074</v>
      </c>
    </row>
    <row r="165" spans="1:8" x14ac:dyDescent="0.3">
      <c r="A165">
        <v>163</v>
      </c>
      <c r="B165">
        <v>5231</v>
      </c>
      <c r="C165">
        <v>48</v>
      </c>
      <c r="D165" t="s">
        <v>12</v>
      </c>
      <c r="E165" t="b">
        <v>1</v>
      </c>
      <c r="F165" s="1">
        <v>40165</v>
      </c>
      <c r="G165">
        <v>22</v>
      </c>
      <c r="H165">
        <v>172103</v>
      </c>
    </row>
    <row r="166" spans="1:8" x14ac:dyDescent="0.3">
      <c r="A166">
        <v>164</v>
      </c>
      <c r="B166">
        <v>3709</v>
      </c>
      <c r="C166">
        <v>32</v>
      </c>
      <c r="D166" t="s">
        <v>12</v>
      </c>
      <c r="E166" t="b">
        <v>0</v>
      </c>
      <c r="F166" s="1">
        <v>29983</v>
      </c>
      <c r="G166">
        <v>15</v>
      </c>
      <c r="H166">
        <v>121991</v>
      </c>
    </row>
    <row r="167" spans="1:8" x14ac:dyDescent="0.3">
      <c r="A167">
        <v>165</v>
      </c>
      <c r="B167">
        <v>5077</v>
      </c>
      <c r="C167">
        <v>49</v>
      </c>
      <c r="D167" t="s">
        <v>8</v>
      </c>
      <c r="E167" t="b">
        <v>0</v>
      </c>
      <c r="F167" s="1">
        <v>28454</v>
      </c>
      <c r="G167">
        <v>20</v>
      </c>
      <c r="H167">
        <v>174787</v>
      </c>
    </row>
    <row r="168" spans="1:8" x14ac:dyDescent="0.3">
      <c r="A168">
        <v>166</v>
      </c>
      <c r="B168">
        <v>8159</v>
      </c>
      <c r="C168">
        <v>52</v>
      </c>
      <c r="D168" t="s">
        <v>12</v>
      </c>
      <c r="E168" t="b">
        <v>0</v>
      </c>
      <c r="F168" s="1">
        <v>38987</v>
      </c>
      <c r="G168">
        <v>25</v>
      </c>
      <c r="H168">
        <v>200675</v>
      </c>
    </row>
    <row r="169" spans="1:8" x14ac:dyDescent="0.3">
      <c r="A169">
        <v>167</v>
      </c>
      <c r="B169">
        <v>2327</v>
      </c>
      <c r="C169">
        <v>35</v>
      </c>
      <c r="D169" t="s">
        <v>11</v>
      </c>
      <c r="E169" t="b">
        <v>0</v>
      </c>
      <c r="F169" s="1">
        <v>26440</v>
      </c>
      <c r="G169">
        <v>17</v>
      </c>
      <c r="H169">
        <v>144719</v>
      </c>
    </row>
    <row r="170" spans="1:8" x14ac:dyDescent="0.3">
      <c r="A170">
        <v>168</v>
      </c>
      <c r="B170">
        <v>8869</v>
      </c>
      <c r="C170">
        <v>51</v>
      </c>
      <c r="D170" t="s">
        <v>10</v>
      </c>
      <c r="E170" t="b">
        <v>0</v>
      </c>
      <c r="F170" s="1">
        <v>39718</v>
      </c>
      <c r="G170">
        <v>25</v>
      </c>
      <c r="H170">
        <v>198755</v>
      </c>
    </row>
    <row r="171" spans="1:8" x14ac:dyDescent="0.3">
      <c r="A171">
        <v>169</v>
      </c>
      <c r="B171">
        <v>1184</v>
      </c>
      <c r="C171">
        <v>44</v>
      </c>
      <c r="D171" t="s">
        <v>11</v>
      </c>
      <c r="E171" t="b">
        <v>1</v>
      </c>
      <c r="F171" s="1">
        <v>36012</v>
      </c>
      <c r="G171">
        <v>19</v>
      </c>
      <c r="H171">
        <v>150320</v>
      </c>
    </row>
    <row r="172" spans="1:8" x14ac:dyDescent="0.3">
      <c r="A172">
        <v>170</v>
      </c>
      <c r="B172">
        <v>5290</v>
      </c>
      <c r="C172">
        <v>52</v>
      </c>
      <c r="D172" t="s">
        <v>10</v>
      </c>
      <c r="E172" t="b">
        <v>1</v>
      </c>
      <c r="F172" s="1">
        <v>30523</v>
      </c>
      <c r="G172">
        <v>25</v>
      </c>
      <c r="H172">
        <v>196697</v>
      </c>
    </row>
    <row r="173" spans="1:8" x14ac:dyDescent="0.3">
      <c r="A173">
        <v>171</v>
      </c>
      <c r="B173">
        <v>3041</v>
      </c>
      <c r="C173">
        <v>29</v>
      </c>
      <c r="D173" t="s">
        <v>8</v>
      </c>
      <c r="E173" t="b">
        <v>1</v>
      </c>
      <c r="F173" s="1">
        <v>30304</v>
      </c>
      <c r="G173">
        <v>16</v>
      </c>
      <c r="H173">
        <v>133598</v>
      </c>
    </row>
    <row r="174" spans="1:8" x14ac:dyDescent="0.3">
      <c r="A174">
        <v>172</v>
      </c>
      <c r="B174">
        <v>3995</v>
      </c>
      <c r="C174">
        <v>38</v>
      </c>
      <c r="D174" t="s">
        <v>11</v>
      </c>
      <c r="E174" t="b">
        <v>0</v>
      </c>
      <c r="F174" s="1">
        <v>35581</v>
      </c>
      <c r="G174">
        <v>18</v>
      </c>
      <c r="H174">
        <v>152005</v>
      </c>
    </row>
    <row r="175" spans="1:8" x14ac:dyDescent="0.3">
      <c r="A175">
        <v>173</v>
      </c>
      <c r="B175">
        <v>3870</v>
      </c>
      <c r="C175">
        <v>30</v>
      </c>
      <c r="D175" t="s">
        <v>12</v>
      </c>
      <c r="E175" t="b">
        <v>1</v>
      </c>
      <c r="F175" s="1">
        <v>32602</v>
      </c>
      <c r="G175">
        <v>17</v>
      </c>
      <c r="H175">
        <v>127810</v>
      </c>
    </row>
    <row r="176" spans="1:8" x14ac:dyDescent="0.3">
      <c r="A176">
        <v>174</v>
      </c>
      <c r="B176">
        <v>7949</v>
      </c>
      <c r="C176">
        <v>59</v>
      </c>
      <c r="D176" t="s">
        <v>11</v>
      </c>
      <c r="E176" t="b">
        <v>0</v>
      </c>
      <c r="F176" s="1">
        <v>34971</v>
      </c>
      <c r="G176">
        <v>31</v>
      </c>
      <c r="H176">
        <v>245029</v>
      </c>
    </row>
    <row r="177" spans="1:8" x14ac:dyDescent="0.3">
      <c r="A177">
        <v>175</v>
      </c>
      <c r="B177">
        <v>3635</v>
      </c>
      <c r="C177">
        <v>40</v>
      </c>
      <c r="D177" t="s">
        <v>9</v>
      </c>
      <c r="E177" t="b">
        <v>1</v>
      </c>
      <c r="F177" s="1">
        <v>43994</v>
      </c>
      <c r="G177">
        <v>20</v>
      </c>
      <c r="H177">
        <v>159567</v>
      </c>
    </row>
    <row r="178" spans="1:8" x14ac:dyDescent="0.3">
      <c r="A178">
        <v>176</v>
      </c>
      <c r="B178">
        <v>5679</v>
      </c>
      <c r="C178">
        <v>38</v>
      </c>
      <c r="D178" t="s">
        <v>10</v>
      </c>
      <c r="E178" t="b">
        <v>1</v>
      </c>
      <c r="F178" s="1">
        <v>33255</v>
      </c>
      <c r="G178">
        <v>20</v>
      </c>
      <c r="H178">
        <v>165488</v>
      </c>
    </row>
    <row r="179" spans="1:8" x14ac:dyDescent="0.3">
      <c r="A179">
        <v>177</v>
      </c>
      <c r="B179">
        <v>5525</v>
      </c>
      <c r="C179">
        <v>36</v>
      </c>
      <c r="D179" t="s">
        <v>10</v>
      </c>
      <c r="E179" t="b">
        <v>0</v>
      </c>
      <c r="F179" s="1">
        <v>38059</v>
      </c>
      <c r="G179">
        <v>18</v>
      </c>
      <c r="H179">
        <v>144373</v>
      </c>
    </row>
    <row r="180" spans="1:8" x14ac:dyDescent="0.3">
      <c r="A180">
        <v>178</v>
      </c>
      <c r="B180">
        <v>9645</v>
      </c>
      <c r="C180">
        <v>52</v>
      </c>
      <c r="D180" t="s">
        <v>8</v>
      </c>
      <c r="E180" t="b">
        <v>0</v>
      </c>
      <c r="F180" s="1">
        <v>29741</v>
      </c>
      <c r="G180">
        <v>25</v>
      </c>
      <c r="H180">
        <v>209113</v>
      </c>
    </row>
    <row r="181" spans="1:8" x14ac:dyDescent="0.3">
      <c r="A181">
        <v>179</v>
      </c>
      <c r="B181">
        <v>9968</v>
      </c>
      <c r="C181">
        <v>62</v>
      </c>
      <c r="D181" t="s">
        <v>12</v>
      </c>
      <c r="E181" t="b">
        <v>1</v>
      </c>
      <c r="F181" s="1">
        <v>38380</v>
      </c>
      <c r="G181">
        <v>29</v>
      </c>
      <c r="H181">
        <v>230159</v>
      </c>
    </row>
    <row r="182" spans="1:8" x14ac:dyDescent="0.3">
      <c r="A182">
        <v>180</v>
      </c>
      <c r="B182">
        <v>3953</v>
      </c>
      <c r="C182">
        <v>62</v>
      </c>
      <c r="D182" t="s">
        <v>10</v>
      </c>
      <c r="E182" t="b">
        <v>1</v>
      </c>
      <c r="F182" s="1">
        <v>43363</v>
      </c>
      <c r="G182">
        <v>32</v>
      </c>
      <c r="H182">
        <v>242948</v>
      </c>
    </row>
    <row r="183" spans="1:8" x14ac:dyDescent="0.3">
      <c r="A183">
        <v>181</v>
      </c>
      <c r="B183">
        <v>4758</v>
      </c>
      <c r="C183">
        <v>42</v>
      </c>
      <c r="D183" t="s">
        <v>11</v>
      </c>
      <c r="E183" t="b">
        <v>0</v>
      </c>
      <c r="F183" s="1">
        <v>37458</v>
      </c>
      <c r="G183">
        <v>22</v>
      </c>
      <c r="H183">
        <v>181627</v>
      </c>
    </row>
    <row r="184" spans="1:8" x14ac:dyDescent="0.3">
      <c r="A184">
        <v>182</v>
      </c>
      <c r="B184">
        <v>7427</v>
      </c>
      <c r="C184">
        <v>48</v>
      </c>
      <c r="D184" t="s">
        <v>12</v>
      </c>
      <c r="E184" t="b">
        <v>0</v>
      </c>
      <c r="F184" s="1">
        <v>32319</v>
      </c>
      <c r="G184">
        <v>24</v>
      </c>
      <c r="H184">
        <v>185708</v>
      </c>
    </row>
    <row r="185" spans="1:8" x14ac:dyDescent="0.3">
      <c r="A185">
        <v>183</v>
      </c>
      <c r="B185">
        <v>8999</v>
      </c>
      <c r="C185">
        <v>28</v>
      </c>
      <c r="D185" t="s">
        <v>10</v>
      </c>
      <c r="E185" t="b">
        <v>1</v>
      </c>
      <c r="F185" s="1">
        <v>42684</v>
      </c>
      <c r="G185">
        <v>14</v>
      </c>
      <c r="H185">
        <v>111947</v>
      </c>
    </row>
    <row r="186" spans="1:8" x14ac:dyDescent="0.3">
      <c r="A186">
        <v>184</v>
      </c>
      <c r="B186">
        <v>7658</v>
      </c>
      <c r="C186">
        <v>53</v>
      </c>
      <c r="D186" t="s">
        <v>12</v>
      </c>
      <c r="E186" t="b">
        <v>0</v>
      </c>
      <c r="F186" s="1">
        <v>26700</v>
      </c>
      <c r="G186">
        <v>26</v>
      </c>
      <c r="H186">
        <v>201058</v>
      </c>
    </row>
    <row r="187" spans="1:8" x14ac:dyDescent="0.3">
      <c r="A187">
        <v>185</v>
      </c>
      <c r="B187">
        <v>4734</v>
      </c>
      <c r="C187">
        <v>42</v>
      </c>
      <c r="D187" t="s">
        <v>10</v>
      </c>
      <c r="E187" t="b">
        <v>1</v>
      </c>
      <c r="F187" s="1">
        <v>34316</v>
      </c>
      <c r="G187">
        <v>21</v>
      </c>
      <c r="H187">
        <v>168451</v>
      </c>
    </row>
    <row r="188" spans="1:8" x14ac:dyDescent="0.3">
      <c r="A188">
        <v>186</v>
      </c>
      <c r="B188">
        <v>7336</v>
      </c>
      <c r="C188">
        <v>22</v>
      </c>
      <c r="D188" t="s">
        <v>9</v>
      </c>
      <c r="E188" t="b">
        <v>1</v>
      </c>
      <c r="F188" s="1">
        <v>34814</v>
      </c>
      <c r="G188">
        <v>8</v>
      </c>
      <c r="H188">
        <v>57732</v>
      </c>
    </row>
    <row r="189" spans="1:8" x14ac:dyDescent="0.3">
      <c r="A189">
        <v>187</v>
      </c>
      <c r="B189">
        <v>4024</v>
      </c>
      <c r="C189">
        <v>46</v>
      </c>
      <c r="D189" t="s">
        <v>11</v>
      </c>
      <c r="E189" t="b">
        <v>1</v>
      </c>
      <c r="F189" s="1">
        <v>39169</v>
      </c>
      <c r="G189">
        <v>25</v>
      </c>
      <c r="H189">
        <v>197413</v>
      </c>
    </row>
    <row r="190" spans="1:8" x14ac:dyDescent="0.3">
      <c r="A190">
        <v>188</v>
      </c>
      <c r="B190">
        <v>7752</v>
      </c>
      <c r="C190">
        <v>30</v>
      </c>
      <c r="D190" t="s">
        <v>10</v>
      </c>
      <c r="E190" t="b">
        <v>0</v>
      </c>
      <c r="F190" s="1">
        <v>27272</v>
      </c>
      <c r="G190">
        <v>16</v>
      </c>
      <c r="H190">
        <v>121722</v>
      </c>
    </row>
    <row r="191" spans="1:8" x14ac:dyDescent="0.3">
      <c r="A191">
        <v>189</v>
      </c>
      <c r="B191">
        <v>9981</v>
      </c>
      <c r="C191">
        <v>30</v>
      </c>
      <c r="D191" t="s">
        <v>11</v>
      </c>
      <c r="E191" t="b">
        <v>1</v>
      </c>
      <c r="F191" s="1">
        <v>29733</v>
      </c>
      <c r="G191">
        <v>18</v>
      </c>
      <c r="H191">
        <v>152895</v>
      </c>
    </row>
    <row r="192" spans="1:8" x14ac:dyDescent="0.3">
      <c r="A192">
        <v>190</v>
      </c>
      <c r="B192">
        <v>2003</v>
      </c>
      <c r="C192">
        <v>30</v>
      </c>
      <c r="D192" t="s">
        <v>8</v>
      </c>
      <c r="E192" t="b">
        <v>0</v>
      </c>
      <c r="F192" s="1">
        <v>41081</v>
      </c>
      <c r="G192">
        <v>14</v>
      </c>
      <c r="H192">
        <v>117925</v>
      </c>
    </row>
    <row r="193" spans="1:8" x14ac:dyDescent="0.3">
      <c r="A193">
        <v>191</v>
      </c>
      <c r="B193">
        <v>9689</v>
      </c>
      <c r="C193">
        <v>56</v>
      </c>
      <c r="D193" t="s">
        <v>11</v>
      </c>
      <c r="E193" t="b">
        <v>1</v>
      </c>
      <c r="F193" s="1">
        <v>33726</v>
      </c>
      <c r="G193">
        <v>24</v>
      </c>
      <c r="H193">
        <v>193844</v>
      </c>
    </row>
    <row r="194" spans="1:8" x14ac:dyDescent="0.3">
      <c r="A194">
        <v>192</v>
      </c>
      <c r="B194">
        <v>2869</v>
      </c>
      <c r="C194">
        <v>30</v>
      </c>
      <c r="D194" t="s">
        <v>12</v>
      </c>
      <c r="E194" t="b">
        <v>1</v>
      </c>
      <c r="F194" s="1">
        <v>26179</v>
      </c>
      <c r="G194">
        <v>14</v>
      </c>
      <c r="H194">
        <v>121879</v>
      </c>
    </row>
    <row r="195" spans="1:8" x14ac:dyDescent="0.3">
      <c r="A195">
        <v>193</v>
      </c>
      <c r="B195">
        <v>9133</v>
      </c>
      <c r="C195">
        <v>41</v>
      </c>
      <c r="D195" t="s">
        <v>10</v>
      </c>
      <c r="E195" t="b">
        <v>1</v>
      </c>
      <c r="F195" s="1">
        <v>38606</v>
      </c>
      <c r="G195">
        <v>22</v>
      </c>
      <c r="H195">
        <v>176397</v>
      </c>
    </row>
    <row r="196" spans="1:8" x14ac:dyDescent="0.3">
      <c r="A196">
        <v>194</v>
      </c>
      <c r="B196">
        <v>5618</v>
      </c>
      <c r="C196">
        <v>58</v>
      </c>
      <c r="D196" t="s">
        <v>12</v>
      </c>
      <c r="E196" t="b">
        <v>1</v>
      </c>
      <c r="F196" s="1">
        <v>33609</v>
      </c>
      <c r="G196">
        <v>31</v>
      </c>
      <c r="H196">
        <v>250658</v>
      </c>
    </row>
    <row r="197" spans="1:8" x14ac:dyDescent="0.3">
      <c r="A197">
        <v>195</v>
      </c>
      <c r="B197">
        <v>2310</v>
      </c>
      <c r="C197">
        <v>47</v>
      </c>
      <c r="D197" t="s">
        <v>11</v>
      </c>
      <c r="E197" t="b">
        <v>0</v>
      </c>
      <c r="F197" s="1">
        <v>29923</v>
      </c>
      <c r="G197">
        <v>22</v>
      </c>
      <c r="H197">
        <v>176752</v>
      </c>
    </row>
    <row r="198" spans="1:8" x14ac:dyDescent="0.3">
      <c r="A198">
        <v>196</v>
      </c>
      <c r="B198">
        <v>9025</v>
      </c>
      <c r="C198">
        <v>32</v>
      </c>
      <c r="D198" t="s">
        <v>10</v>
      </c>
      <c r="E198" t="b">
        <v>1</v>
      </c>
      <c r="F198" s="1">
        <v>41421</v>
      </c>
      <c r="G198">
        <v>15</v>
      </c>
      <c r="H198">
        <v>123319</v>
      </c>
    </row>
    <row r="199" spans="1:8" x14ac:dyDescent="0.3">
      <c r="A199">
        <v>197</v>
      </c>
      <c r="B199">
        <v>2227</v>
      </c>
      <c r="C199">
        <v>60</v>
      </c>
      <c r="D199" t="s">
        <v>10</v>
      </c>
      <c r="E199" t="b">
        <v>1</v>
      </c>
      <c r="F199" s="1">
        <v>44677</v>
      </c>
      <c r="G199">
        <v>32</v>
      </c>
      <c r="H199">
        <v>258573</v>
      </c>
    </row>
    <row r="200" spans="1:8" x14ac:dyDescent="0.3">
      <c r="A200">
        <v>198</v>
      </c>
      <c r="B200">
        <v>2996</v>
      </c>
      <c r="C200">
        <v>42</v>
      </c>
      <c r="D200" t="s">
        <v>8</v>
      </c>
      <c r="E200" t="b">
        <v>0</v>
      </c>
      <c r="F200" s="1">
        <v>29638</v>
      </c>
      <c r="G200">
        <v>19</v>
      </c>
      <c r="H200">
        <v>150946</v>
      </c>
    </row>
    <row r="201" spans="1:8" x14ac:dyDescent="0.3">
      <c r="A201">
        <v>199</v>
      </c>
      <c r="B201">
        <v>3003</v>
      </c>
      <c r="C201">
        <v>25</v>
      </c>
      <c r="D201" t="s">
        <v>11</v>
      </c>
      <c r="E201" t="b">
        <v>1</v>
      </c>
      <c r="F201" s="1">
        <v>45197</v>
      </c>
      <c r="G201">
        <v>14</v>
      </c>
      <c r="H201">
        <v>114361</v>
      </c>
    </row>
    <row r="202" spans="1:8" x14ac:dyDescent="0.3">
      <c r="A202">
        <v>200</v>
      </c>
      <c r="B202">
        <v>7608</v>
      </c>
      <c r="C202">
        <v>63</v>
      </c>
      <c r="D202" t="s">
        <v>12</v>
      </c>
      <c r="E202" t="b">
        <v>1</v>
      </c>
      <c r="F202" s="1">
        <v>32861</v>
      </c>
      <c r="G202">
        <v>32</v>
      </c>
      <c r="H202">
        <v>257944</v>
      </c>
    </row>
    <row r="203" spans="1:8" x14ac:dyDescent="0.3">
      <c r="A203">
        <v>201</v>
      </c>
      <c r="B203">
        <v>1121</v>
      </c>
      <c r="C203">
        <v>22</v>
      </c>
      <c r="D203" t="s">
        <v>12</v>
      </c>
      <c r="E203" t="b">
        <v>0</v>
      </c>
      <c r="F203" s="1">
        <v>30530</v>
      </c>
      <c r="G203">
        <v>12</v>
      </c>
      <c r="H203">
        <v>91127</v>
      </c>
    </row>
    <row r="204" spans="1:8" x14ac:dyDescent="0.3">
      <c r="A204">
        <v>202</v>
      </c>
      <c r="B204">
        <v>1838</v>
      </c>
      <c r="C204">
        <v>64</v>
      </c>
      <c r="D204" t="s">
        <v>11</v>
      </c>
      <c r="E204" t="b">
        <v>1</v>
      </c>
      <c r="F204" s="1">
        <v>41632</v>
      </c>
      <c r="G204">
        <v>34</v>
      </c>
      <c r="H204">
        <v>273400</v>
      </c>
    </row>
    <row r="205" spans="1:8" x14ac:dyDescent="0.3">
      <c r="A205">
        <v>203</v>
      </c>
      <c r="B205">
        <v>6586</v>
      </c>
      <c r="C205">
        <v>46</v>
      </c>
      <c r="D205" t="s">
        <v>11</v>
      </c>
      <c r="E205" t="b">
        <v>1</v>
      </c>
      <c r="F205" s="1">
        <v>26853</v>
      </c>
      <c r="G205">
        <v>25</v>
      </c>
      <c r="H205">
        <v>196459</v>
      </c>
    </row>
    <row r="206" spans="1:8" x14ac:dyDescent="0.3">
      <c r="A206">
        <v>204</v>
      </c>
      <c r="B206">
        <v>4148</v>
      </c>
      <c r="C206">
        <v>34</v>
      </c>
      <c r="D206" t="s">
        <v>10</v>
      </c>
      <c r="E206" t="b">
        <v>0</v>
      </c>
      <c r="F206" s="1">
        <v>41953</v>
      </c>
      <c r="G206">
        <v>18</v>
      </c>
      <c r="H206">
        <v>132705</v>
      </c>
    </row>
    <row r="207" spans="1:8" x14ac:dyDescent="0.3">
      <c r="A207">
        <v>205</v>
      </c>
      <c r="B207">
        <v>6227</v>
      </c>
      <c r="C207">
        <v>61</v>
      </c>
      <c r="D207" t="s">
        <v>9</v>
      </c>
      <c r="E207" t="b">
        <v>1</v>
      </c>
      <c r="F207" s="1">
        <v>38513</v>
      </c>
      <c r="G207">
        <v>24</v>
      </c>
      <c r="H207">
        <v>192494</v>
      </c>
    </row>
    <row r="208" spans="1:8" x14ac:dyDescent="0.3">
      <c r="A208">
        <v>206</v>
      </c>
      <c r="B208">
        <v>6663</v>
      </c>
      <c r="C208">
        <v>38</v>
      </c>
      <c r="D208" t="s">
        <v>10</v>
      </c>
      <c r="E208" t="b">
        <v>1</v>
      </c>
      <c r="F208" s="1">
        <v>33525</v>
      </c>
      <c r="G208">
        <v>21</v>
      </c>
      <c r="H208">
        <v>164835</v>
      </c>
    </row>
    <row r="209" spans="1:8" x14ac:dyDescent="0.3">
      <c r="A209">
        <v>207</v>
      </c>
      <c r="B209">
        <v>9650</v>
      </c>
      <c r="C209">
        <v>33</v>
      </c>
      <c r="D209" t="s">
        <v>8</v>
      </c>
      <c r="E209" t="b">
        <v>0</v>
      </c>
      <c r="F209" s="1">
        <v>28085</v>
      </c>
      <c r="G209">
        <v>15</v>
      </c>
      <c r="H209">
        <v>126137</v>
      </c>
    </row>
    <row r="210" spans="1:8" x14ac:dyDescent="0.3">
      <c r="A210">
        <v>208</v>
      </c>
      <c r="B210">
        <v>6929</v>
      </c>
      <c r="C210">
        <v>51</v>
      </c>
      <c r="D210" t="s">
        <v>11</v>
      </c>
      <c r="E210" t="b">
        <v>1</v>
      </c>
      <c r="F210" s="1">
        <v>28165</v>
      </c>
      <c r="G210">
        <v>25</v>
      </c>
      <c r="H210">
        <v>200225</v>
      </c>
    </row>
    <row r="211" spans="1:8" x14ac:dyDescent="0.3">
      <c r="A211">
        <v>209</v>
      </c>
      <c r="B211">
        <v>2863</v>
      </c>
      <c r="C211">
        <v>46</v>
      </c>
      <c r="D211" t="s">
        <v>8</v>
      </c>
      <c r="E211" t="b">
        <v>0</v>
      </c>
      <c r="F211" s="1">
        <v>39857</v>
      </c>
      <c r="G211">
        <v>25</v>
      </c>
      <c r="H211">
        <v>195891</v>
      </c>
    </row>
    <row r="212" spans="1:8" x14ac:dyDescent="0.3">
      <c r="A212">
        <v>210</v>
      </c>
      <c r="B212">
        <v>8673</v>
      </c>
      <c r="C212">
        <v>44</v>
      </c>
      <c r="D212" t="s">
        <v>10</v>
      </c>
      <c r="E212" t="b">
        <v>1</v>
      </c>
      <c r="F212" s="1">
        <v>45093</v>
      </c>
      <c r="G212">
        <v>20</v>
      </c>
      <c r="H212">
        <v>156207</v>
      </c>
    </row>
    <row r="213" spans="1:8" x14ac:dyDescent="0.3">
      <c r="A213">
        <v>211</v>
      </c>
      <c r="B213">
        <v>2820</v>
      </c>
      <c r="C213">
        <v>28</v>
      </c>
      <c r="D213" t="s">
        <v>8</v>
      </c>
      <c r="E213" t="b">
        <v>1</v>
      </c>
      <c r="F213" s="1">
        <v>43218</v>
      </c>
      <c r="G213">
        <v>18</v>
      </c>
      <c r="H213">
        <v>135734</v>
      </c>
    </row>
    <row r="214" spans="1:8" x14ac:dyDescent="0.3">
      <c r="A214">
        <v>212</v>
      </c>
      <c r="B214">
        <v>6260</v>
      </c>
      <c r="C214">
        <v>23</v>
      </c>
      <c r="D214" t="s">
        <v>9</v>
      </c>
      <c r="E214" t="b">
        <v>0</v>
      </c>
      <c r="F214" s="1">
        <v>45367</v>
      </c>
      <c r="G214">
        <v>14</v>
      </c>
      <c r="H214">
        <v>109179</v>
      </c>
    </row>
    <row r="215" spans="1:8" x14ac:dyDescent="0.3">
      <c r="A215">
        <v>213</v>
      </c>
      <c r="B215">
        <v>5238</v>
      </c>
      <c r="C215">
        <v>48</v>
      </c>
      <c r="D215" t="s">
        <v>9</v>
      </c>
      <c r="E215" t="b">
        <v>0</v>
      </c>
      <c r="F215" s="1">
        <v>36243</v>
      </c>
      <c r="G215">
        <v>25</v>
      </c>
      <c r="H215">
        <v>197005</v>
      </c>
    </row>
    <row r="216" spans="1:8" x14ac:dyDescent="0.3">
      <c r="A216">
        <v>214</v>
      </c>
      <c r="B216">
        <v>1284</v>
      </c>
      <c r="C216">
        <v>28</v>
      </c>
      <c r="D216" t="s">
        <v>9</v>
      </c>
      <c r="E216" t="b">
        <v>0</v>
      </c>
      <c r="F216" s="1">
        <v>45069</v>
      </c>
      <c r="G216">
        <v>13</v>
      </c>
      <c r="H216">
        <v>89207</v>
      </c>
    </row>
    <row r="217" spans="1:8" x14ac:dyDescent="0.3">
      <c r="A217">
        <v>215</v>
      </c>
      <c r="B217">
        <v>3247</v>
      </c>
      <c r="C217">
        <v>34</v>
      </c>
      <c r="D217" t="s">
        <v>8</v>
      </c>
      <c r="E217" t="b">
        <v>1</v>
      </c>
      <c r="F217" s="1">
        <v>29549</v>
      </c>
      <c r="G217">
        <v>16</v>
      </c>
      <c r="H217">
        <v>138009</v>
      </c>
    </row>
    <row r="218" spans="1:8" x14ac:dyDescent="0.3">
      <c r="A218">
        <v>216</v>
      </c>
      <c r="B218">
        <v>1541</v>
      </c>
      <c r="C218">
        <v>62</v>
      </c>
      <c r="D218" t="s">
        <v>12</v>
      </c>
      <c r="E218" t="b">
        <v>1</v>
      </c>
      <c r="F218" s="1">
        <v>38322</v>
      </c>
      <c r="G218">
        <v>28</v>
      </c>
      <c r="H218">
        <v>233480</v>
      </c>
    </row>
    <row r="219" spans="1:8" x14ac:dyDescent="0.3">
      <c r="A219">
        <v>217</v>
      </c>
      <c r="B219">
        <v>5004</v>
      </c>
      <c r="C219">
        <v>57</v>
      </c>
      <c r="D219" t="s">
        <v>8</v>
      </c>
      <c r="E219" t="b">
        <v>1</v>
      </c>
      <c r="F219" s="1">
        <v>41768</v>
      </c>
      <c r="G219">
        <v>26</v>
      </c>
      <c r="H219">
        <v>206244</v>
      </c>
    </row>
    <row r="220" spans="1:8" x14ac:dyDescent="0.3">
      <c r="A220">
        <v>218</v>
      </c>
      <c r="B220">
        <v>2696</v>
      </c>
      <c r="C220">
        <v>56</v>
      </c>
      <c r="D220" t="s">
        <v>8</v>
      </c>
      <c r="E220" t="b">
        <v>1</v>
      </c>
      <c r="F220" s="1">
        <v>36177</v>
      </c>
      <c r="G220">
        <v>26</v>
      </c>
      <c r="H220">
        <v>207865</v>
      </c>
    </row>
    <row r="221" spans="1:8" x14ac:dyDescent="0.3">
      <c r="A221">
        <v>219</v>
      </c>
      <c r="B221">
        <v>6407</v>
      </c>
      <c r="C221">
        <v>43</v>
      </c>
      <c r="D221" t="s">
        <v>12</v>
      </c>
      <c r="E221" t="b">
        <v>1</v>
      </c>
      <c r="F221" s="1">
        <v>28689</v>
      </c>
      <c r="G221">
        <v>21</v>
      </c>
      <c r="H221">
        <v>160057</v>
      </c>
    </row>
    <row r="222" spans="1:8" x14ac:dyDescent="0.3">
      <c r="A222">
        <v>220</v>
      </c>
      <c r="B222">
        <v>2699</v>
      </c>
      <c r="C222">
        <v>40</v>
      </c>
      <c r="D222" t="s">
        <v>8</v>
      </c>
      <c r="E222" t="b">
        <v>1</v>
      </c>
      <c r="F222" s="1">
        <v>44609</v>
      </c>
      <c r="G222">
        <v>16</v>
      </c>
      <c r="H222">
        <v>135082</v>
      </c>
    </row>
    <row r="223" spans="1:8" x14ac:dyDescent="0.3">
      <c r="A223">
        <v>221</v>
      </c>
      <c r="B223">
        <v>9383</v>
      </c>
      <c r="C223">
        <v>57</v>
      </c>
      <c r="D223" t="s">
        <v>8</v>
      </c>
      <c r="E223" t="b">
        <v>0</v>
      </c>
      <c r="F223" s="1">
        <v>37727</v>
      </c>
      <c r="G223">
        <v>25</v>
      </c>
      <c r="H223">
        <v>207482</v>
      </c>
    </row>
    <row r="224" spans="1:8" x14ac:dyDescent="0.3">
      <c r="A224">
        <v>222</v>
      </c>
      <c r="B224">
        <v>2577</v>
      </c>
      <c r="C224">
        <v>39</v>
      </c>
      <c r="D224" t="s">
        <v>11</v>
      </c>
      <c r="E224" t="b">
        <v>0</v>
      </c>
      <c r="F224" s="1">
        <v>44475</v>
      </c>
      <c r="G224">
        <v>19</v>
      </c>
      <c r="H224">
        <v>144587</v>
      </c>
    </row>
    <row r="225" spans="1:8" x14ac:dyDescent="0.3">
      <c r="A225">
        <v>223</v>
      </c>
      <c r="B225">
        <v>7746</v>
      </c>
      <c r="C225">
        <v>41</v>
      </c>
      <c r="D225" t="s">
        <v>9</v>
      </c>
      <c r="E225" t="b">
        <v>1</v>
      </c>
      <c r="F225" s="1">
        <v>27970</v>
      </c>
      <c r="G225">
        <v>22</v>
      </c>
      <c r="H225">
        <v>179459</v>
      </c>
    </row>
    <row r="226" spans="1:8" x14ac:dyDescent="0.3">
      <c r="A226">
        <v>224</v>
      </c>
      <c r="B226">
        <v>5622</v>
      </c>
      <c r="C226">
        <v>59</v>
      </c>
      <c r="D226" t="s">
        <v>12</v>
      </c>
      <c r="E226" t="b">
        <v>0</v>
      </c>
      <c r="F226" s="1">
        <v>29196</v>
      </c>
      <c r="G226">
        <v>30</v>
      </c>
      <c r="H226">
        <v>235895</v>
      </c>
    </row>
    <row r="227" spans="1:8" x14ac:dyDescent="0.3">
      <c r="A227">
        <v>225</v>
      </c>
      <c r="B227">
        <v>4002</v>
      </c>
      <c r="C227">
        <v>26</v>
      </c>
      <c r="D227" t="s">
        <v>11</v>
      </c>
      <c r="E227" t="b">
        <v>0</v>
      </c>
      <c r="F227" s="1">
        <v>38900</v>
      </c>
      <c r="G227">
        <v>17</v>
      </c>
      <c r="H227">
        <v>134299</v>
      </c>
    </row>
    <row r="228" spans="1:8" x14ac:dyDescent="0.3">
      <c r="A228">
        <v>226</v>
      </c>
      <c r="B228">
        <v>1643</v>
      </c>
      <c r="C228">
        <v>34</v>
      </c>
      <c r="D228" t="s">
        <v>9</v>
      </c>
      <c r="E228" t="b">
        <v>1</v>
      </c>
      <c r="F228" s="1">
        <v>28584</v>
      </c>
      <c r="G228">
        <v>17</v>
      </c>
      <c r="H228">
        <v>134991</v>
      </c>
    </row>
    <row r="229" spans="1:8" x14ac:dyDescent="0.3">
      <c r="A229">
        <v>227</v>
      </c>
      <c r="B229">
        <v>1459</v>
      </c>
      <c r="C229">
        <v>26</v>
      </c>
      <c r="D229" t="s">
        <v>9</v>
      </c>
      <c r="E229" t="b">
        <v>0</v>
      </c>
      <c r="F229" s="1">
        <v>44029</v>
      </c>
      <c r="G229">
        <v>11</v>
      </c>
      <c r="H229">
        <v>88841</v>
      </c>
    </row>
    <row r="230" spans="1:8" x14ac:dyDescent="0.3">
      <c r="A230">
        <v>228</v>
      </c>
      <c r="B230">
        <v>3972</v>
      </c>
      <c r="C230">
        <v>44</v>
      </c>
      <c r="D230" t="s">
        <v>10</v>
      </c>
      <c r="E230" t="b">
        <v>0</v>
      </c>
      <c r="F230" s="1">
        <v>45452</v>
      </c>
      <c r="G230">
        <v>23</v>
      </c>
      <c r="H230">
        <v>184491</v>
      </c>
    </row>
    <row r="231" spans="1:8" x14ac:dyDescent="0.3">
      <c r="A231">
        <v>229</v>
      </c>
      <c r="B231">
        <v>2714</v>
      </c>
      <c r="C231">
        <v>43</v>
      </c>
      <c r="D231" t="s">
        <v>9</v>
      </c>
      <c r="E231" t="b">
        <v>1</v>
      </c>
      <c r="F231" s="1">
        <v>35278</v>
      </c>
      <c r="G231">
        <v>20</v>
      </c>
      <c r="H231">
        <v>154542</v>
      </c>
    </row>
    <row r="232" spans="1:8" x14ac:dyDescent="0.3">
      <c r="A232">
        <v>230</v>
      </c>
      <c r="B232">
        <v>5785</v>
      </c>
      <c r="C232">
        <v>42</v>
      </c>
      <c r="D232" t="s">
        <v>10</v>
      </c>
      <c r="E232" t="b">
        <v>0</v>
      </c>
      <c r="F232" s="1">
        <v>39347</v>
      </c>
      <c r="G232">
        <v>20</v>
      </c>
      <c r="H232">
        <v>158115</v>
      </c>
    </row>
    <row r="233" spans="1:8" x14ac:dyDescent="0.3">
      <c r="A233">
        <v>231</v>
      </c>
      <c r="B233">
        <v>5746</v>
      </c>
      <c r="C233">
        <v>36</v>
      </c>
      <c r="D233" t="s">
        <v>10</v>
      </c>
      <c r="E233" t="b">
        <v>0</v>
      </c>
      <c r="F233" s="1">
        <v>32197</v>
      </c>
      <c r="G233">
        <v>14</v>
      </c>
      <c r="H233">
        <v>113899</v>
      </c>
    </row>
    <row r="234" spans="1:8" x14ac:dyDescent="0.3">
      <c r="A234">
        <v>232</v>
      </c>
      <c r="B234">
        <v>9400</v>
      </c>
      <c r="C234">
        <v>25</v>
      </c>
      <c r="D234" t="s">
        <v>9</v>
      </c>
      <c r="E234" t="b">
        <v>0</v>
      </c>
      <c r="F234" s="1">
        <v>35473</v>
      </c>
      <c r="G234">
        <v>10</v>
      </c>
      <c r="H234">
        <v>85343</v>
      </c>
    </row>
    <row r="235" spans="1:8" x14ac:dyDescent="0.3">
      <c r="A235">
        <v>233</v>
      </c>
      <c r="B235">
        <v>4676</v>
      </c>
      <c r="C235">
        <v>36</v>
      </c>
      <c r="D235" t="s">
        <v>9</v>
      </c>
      <c r="E235" t="b">
        <v>1</v>
      </c>
      <c r="F235" s="1">
        <v>26451</v>
      </c>
      <c r="G235">
        <v>18</v>
      </c>
      <c r="H235">
        <v>139873</v>
      </c>
    </row>
    <row r="236" spans="1:8" x14ac:dyDescent="0.3">
      <c r="A236">
        <v>234</v>
      </c>
      <c r="B236">
        <v>9846</v>
      </c>
      <c r="C236">
        <v>61</v>
      </c>
      <c r="D236" t="s">
        <v>9</v>
      </c>
      <c r="E236" t="b">
        <v>0</v>
      </c>
      <c r="F236" s="1">
        <v>29533</v>
      </c>
      <c r="G236">
        <v>30</v>
      </c>
      <c r="H236">
        <v>246725</v>
      </c>
    </row>
    <row r="237" spans="1:8" x14ac:dyDescent="0.3">
      <c r="A237">
        <v>235</v>
      </c>
      <c r="B237">
        <v>9108</v>
      </c>
      <c r="C237">
        <v>57</v>
      </c>
      <c r="D237" t="s">
        <v>9</v>
      </c>
      <c r="E237" t="b">
        <v>0</v>
      </c>
      <c r="F237" s="1">
        <v>41034</v>
      </c>
      <c r="G237">
        <v>27</v>
      </c>
      <c r="H237">
        <v>226201</v>
      </c>
    </row>
    <row r="238" spans="1:8" x14ac:dyDescent="0.3">
      <c r="A238">
        <v>236</v>
      </c>
      <c r="B238">
        <v>3158</v>
      </c>
      <c r="C238">
        <v>51</v>
      </c>
      <c r="D238" t="s">
        <v>8</v>
      </c>
      <c r="E238" t="b">
        <v>1</v>
      </c>
      <c r="F238" s="1">
        <v>40347</v>
      </c>
      <c r="G238">
        <v>27</v>
      </c>
      <c r="H238">
        <v>212105</v>
      </c>
    </row>
    <row r="239" spans="1:8" x14ac:dyDescent="0.3">
      <c r="A239">
        <v>237</v>
      </c>
      <c r="B239">
        <v>7361</v>
      </c>
      <c r="C239">
        <v>35</v>
      </c>
      <c r="D239" t="s">
        <v>10</v>
      </c>
      <c r="E239" t="b">
        <v>0</v>
      </c>
      <c r="F239" s="1">
        <v>26495</v>
      </c>
      <c r="G239">
        <v>18</v>
      </c>
      <c r="H239">
        <v>149179</v>
      </c>
    </row>
    <row r="240" spans="1:8" x14ac:dyDescent="0.3">
      <c r="A240">
        <v>238</v>
      </c>
      <c r="B240">
        <v>1959</v>
      </c>
      <c r="C240">
        <v>36</v>
      </c>
      <c r="D240" t="s">
        <v>9</v>
      </c>
      <c r="E240" t="b">
        <v>0</v>
      </c>
      <c r="F240" s="1">
        <v>25606</v>
      </c>
      <c r="G240">
        <v>15</v>
      </c>
      <c r="H240">
        <v>115898</v>
      </c>
    </row>
    <row r="241" spans="1:8" x14ac:dyDescent="0.3">
      <c r="A241">
        <v>239</v>
      </c>
      <c r="B241">
        <v>9340</v>
      </c>
      <c r="C241">
        <v>64</v>
      </c>
      <c r="D241" t="s">
        <v>9</v>
      </c>
      <c r="E241" t="b">
        <v>1</v>
      </c>
      <c r="F241" s="1">
        <v>29698</v>
      </c>
      <c r="G241">
        <v>30</v>
      </c>
      <c r="H241">
        <v>245207</v>
      </c>
    </row>
    <row r="242" spans="1:8" x14ac:dyDescent="0.3">
      <c r="A242">
        <v>240</v>
      </c>
      <c r="B242">
        <v>9605</v>
      </c>
      <c r="C242">
        <v>48</v>
      </c>
      <c r="D242" t="s">
        <v>9</v>
      </c>
      <c r="E242" t="b">
        <v>0</v>
      </c>
      <c r="F242" s="1">
        <v>27390</v>
      </c>
      <c r="G242">
        <v>21</v>
      </c>
      <c r="H242">
        <v>163924</v>
      </c>
    </row>
    <row r="243" spans="1:8" x14ac:dyDescent="0.3">
      <c r="A243">
        <v>241</v>
      </c>
      <c r="B243">
        <v>3361</v>
      </c>
      <c r="C243">
        <v>46</v>
      </c>
      <c r="D243" t="s">
        <v>10</v>
      </c>
      <c r="E243" t="b">
        <v>0</v>
      </c>
      <c r="F243" s="1">
        <v>28903</v>
      </c>
      <c r="G243">
        <v>22</v>
      </c>
      <c r="H243">
        <v>172224</v>
      </c>
    </row>
    <row r="244" spans="1:8" x14ac:dyDescent="0.3">
      <c r="A244">
        <v>242</v>
      </c>
      <c r="B244">
        <v>4662</v>
      </c>
      <c r="C244">
        <v>38</v>
      </c>
      <c r="D244" t="s">
        <v>11</v>
      </c>
      <c r="E244" t="b">
        <v>1</v>
      </c>
      <c r="F244" s="1">
        <v>38894</v>
      </c>
      <c r="G244">
        <v>19</v>
      </c>
      <c r="H244">
        <v>144990</v>
      </c>
    </row>
    <row r="245" spans="1:8" x14ac:dyDescent="0.3">
      <c r="A245">
        <v>243</v>
      </c>
      <c r="B245">
        <v>4844</v>
      </c>
      <c r="C245">
        <v>47</v>
      </c>
      <c r="D245" t="s">
        <v>9</v>
      </c>
      <c r="E245" t="b">
        <v>1</v>
      </c>
      <c r="F245" s="1">
        <v>37052</v>
      </c>
      <c r="G245">
        <v>22</v>
      </c>
      <c r="H245">
        <v>170676</v>
      </c>
    </row>
    <row r="246" spans="1:8" x14ac:dyDescent="0.3">
      <c r="A246">
        <v>244</v>
      </c>
      <c r="B246">
        <v>6788</v>
      </c>
      <c r="C246">
        <v>39</v>
      </c>
      <c r="D246" t="s">
        <v>10</v>
      </c>
      <c r="E246" t="b">
        <v>1</v>
      </c>
      <c r="F246" s="1">
        <v>45929</v>
      </c>
      <c r="G246">
        <v>22</v>
      </c>
      <c r="H246">
        <v>181837</v>
      </c>
    </row>
    <row r="247" spans="1:8" x14ac:dyDescent="0.3">
      <c r="A247">
        <v>245</v>
      </c>
      <c r="B247">
        <v>4450</v>
      </c>
      <c r="C247">
        <v>42</v>
      </c>
      <c r="D247" t="s">
        <v>12</v>
      </c>
      <c r="E247" t="b">
        <v>0</v>
      </c>
      <c r="F247" s="1">
        <v>33415</v>
      </c>
      <c r="G247">
        <v>18</v>
      </c>
      <c r="H247">
        <v>133509</v>
      </c>
    </row>
    <row r="248" spans="1:8" x14ac:dyDescent="0.3">
      <c r="A248">
        <v>246</v>
      </c>
      <c r="B248">
        <v>9076</v>
      </c>
      <c r="C248">
        <v>58</v>
      </c>
      <c r="D248" t="s">
        <v>11</v>
      </c>
      <c r="E248" t="b">
        <v>0</v>
      </c>
      <c r="F248" s="1">
        <v>31168</v>
      </c>
      <c r="G248">
        <v>29</v>
      </c>
      <c r="H248">
        <v>234402</v>
      </c>
    </row>
    <row r="249" spans="1:8" x14ac:dyDescent="0.3">
      <c r="A249">
        <v>247</v>
      </c>
      <c r="B249">
        <v>8936</v>
      </c>
      <c r="C249">
        <v>46</v>
      </c>
      <c r="D249" t="s">
        <v>10</v>
      </c>
      <c r="E249" t="b">
        <v>0</v>
      </c>
      <c r="F249" s="1">
        <v>38360</v>
      </c>
      <c r="G249">
        <v>20</v>
      </c>
      <c r="H249">
        <v>165971</v>
      </c>
    </row>
    <row r="250" spans="1:8" x14ac:dyDescent="0.3">
      <c r="A250">
        <v>248</v>
      </c>
      <c r="B250">
        <v>3578</v>
      </c>
      <c r="C250">
        <v>31</v>
      </c>
      <c r="D250" t="s">
        <v>12</v>
      </c>
      <c r="E250" t="b">
        <v>0</v>
      </c>
      <c r="F250" s="1">
        <v>34361</v>
      </c>
      <c r="G250">
        <v>13</v>
      </c>
      <c r="H250">
        <v>105359</v>
      </c>
    </row>
    <row r="251" spans="1:8" x14ac:dyDescent="0.3">
      <c r="A251">
        <v>249</v>
      </c>
      <c r="B251">
        <v>5624</v>
      </c>
      <c r="C251">
        <v>22</v>
      </c>
      <c r="D251" t="s">
        <v>12</v>
      </c>
      <c r="E251" t="b">
        <v>1</v>
      </c>
      <c r="F251" s="1">
        <v>30364</v>
      </c>
      <c r="G251">
        <v>13</v>
      </c>
      <c r="H251">
        <v>94383</v>
      </c>
    </row>
    <row r="252" spans="1:8" x14ac:dyDescent="0.3">
      <c r="A252">
        <v>250</v>
      </c>
      <c r="B252">
        <v>3793</v>
      </c>
      <c r="C252">
        <v>51</v>
      </c>
      <c r="D252" t="s">
        <v>12</v>
      </c>
      <c r="E252" t="b">
        <v>0</v>
      </c>
      <c r="F252" s="1">
        <v>44986</v>
      </c>
      <c r="G252">
        <v>24</v>
      </c>
      <c r="H252">
        <v>198528</v>
      </c>
    </row>
    <row r="253" spans="1:8" x14ac:dyDescent="0.3">
      <c r="A253">
        <v>251</v>
      </c>
      <c r="B253">
        <v>1804</v>
      </c>
      <c r="C253">
        <v>62</v>
      </c>
      <c r="D253" t="s">
        <v>12</v>
      </c>
      <c r="E253" t="b">
        <v>1</v>
      </c>
      <c r="F253" s="1">
        <v>38657</v>
      </c>
      <c r="G253">
        <v>31</v>
      </c>
      <c r="H253">
        <v>242369</v>
      </c>
    </row>
    <row r="254" spans="1:8" x14ac:dyDescent="0.3">
      <c r="A254">
        <v>252</v>
      </c>
      <c r="B254">
        <v>5169</v>
      </c>
      <c r="C254">
        <v>52</v>
      </c>
      <c r="D254" t="s">
        <v>12</v>
      </c>
      <c r="E254" t="b">
        <v>1</v>
      </c>
      <c r="F254" s="1">
        <v>39705</v>
      </c>
      <c r="G254">
        <v>23</v>
      </c>
      <c r="H254">
        <v>182226</v>
      </c>
    </row>
    <row r="255" spans="1:8" x14ac:dyDescent="0.3">
      <c r="A255">
        <v>253</v>
      </c>
      <c r="B255">
        <v>7658</v>
      </c>
      <c r="C255">
        <v>27</v>
      </c>
      <c r="D255" t="s">
        <v>11</v>
      </c>
      <c r="E255" t="b">
        <v>0</v>
      </c>
      <c r="F255" s="1">
        <v>35265</v>
      </c>
      <c r="G255">
        <v>11</v>
      </c>
      <c r="H255">
        <v>88117</v>
      </c>
    </row>
    <row r="256" spans="1:8" x14ac:dyDescent="0.3">
      <c r="A256">
        <v>254</v>
      </c>
      <c r="B256">
        <v>3417</v>
      </c>
      <c r="C256">
        <v>54</v>
      </c>
      <c r="D256" t="s">
        <v>10</v>
      </c>
      <c r="E256" t="b">
        <v>1</v>
      </c>
      <c r="F256" s="1">
        <v>37514</v>
      </c>
      <c r="G256">
        <v>30</v>
      </c>
      <c r="H256">
        <v>242515</v>
      </c>
    </row>
    <row r="257" spans="1:8" x14ac:dyDescent="0.3">
      <c r="A257">
        <v>255</v>
      </c>
      <c r="B257">
        <v>4801</v>
      </c>
      <c r="C257">
        <v>62</v>
      </c>
      <c r="D257" t="s">
        <v>8</v>
      </c>
      <c r="E257" t="b">
        <v>0</v>
      </c>
      <c r="F257" s="1">
        <v>40130</v>
      </c>
      <c r="G257">
        <v>35</v>
      </c>
      <c r="H257">
        <v>281861</v>
      </c>
    </row>
    <row r="258" spans="1:8" x14ac:dyDescent="0.3">
      <c r="A258">
        <v>256</v>
      </c>
      <c r="B258">
        <v>2427</v>
      </c>
      <c r="C258">
        <v>61</v>
      </c>
      <c r="D258" t="s">
        <v>12</v>
      </c>
      <c r="E258" t="b">
        <v>0</v>
      </c>
      <c r="F258" s="1">
        <v>27643</v>
      </c>
      <c r="G258">
        <v>31</v>
      </c>
      <c r="H258">
        <v>242118</v>
      </c>
    </row>
    <row r="259" spans="1:8" x14ac:dyDescent="0.3">
      <c r="A259">
        <v>257</v>
      </c>
      <c r="B259">
        <v>4976</v>
      </c>
      <c r="C259">
        <v>48</v>
      </c>
      <c r="D259" t="s">
        <v>9</v>
      </c>
      <c r="E259" t="b">
        <v>1</v>
      </c>
      <c r="F259" s="1">
        <v>39883</v>
      </c>
      <c r="G259">
        <v>26</v>
      </c>
      <c r="H259">
        <v>209490</v>
      </c>
    </row>
    <row r="260" spans="1:8" x14ac:dyDescent="0.3">
      <c r="A260">
        <v>258</v>
      </c>
      <c r="B260">
        <v>2090</v>
      </c>
      <c r="C260">
        <v>26</v>
      </c>
      <c r="D260" t="s">
        <v>12</v>
      </c>
      <c r="E260" t="b">
        <v>0</v>
      </c>
      <c r="F260" s="1">
        <v>40438</v>
      </c>
      <c r="G260">
        <v>11</v>
      </c>
      <c r="H260">
        <v>89796</v>
      </c>
    </row>
    <row r="261" spans="1:8" x14ac:dyDescent="0.3">
      <c r="A261">
        <v>259</v>
      </c>
      <c r="B261">
        <v>8575</v>
      </c>
      <c r="C261">
        <v>41</v>
      </c>
      <c r="D261" t="s">
        <v>8</v>
      </c>
      <c r="E261" t="b">
        <v>0</v>
      </c>
      <c r="F261" s="1">
        <v>33323</v>
      </c>
      <c r="G261">
        <v>17</v>
      </c>
      <c r="H261">
        <v>133309</v>
      </c>
    </row>
    <row r="262" spans="1:8" x14ac:dyDescent="0.3">
      <c r="A262">
        <v>260</v>
      </c>
      <c r="B262">
        <v>6820</v>
      </c>
      <c r="C262">
        <v>61</v>
      </c>
      <c r="D262" t="s">
        <v>12</v>
      </c>
      <c r="E262" t="b">
        <v>0</v>
      </c>
      <c r="F262" s="1">
        <v>32566</v>
      </c>
      <c r="G262">
        <v>30</v>
      </c>
      <c r="H262">
        <v>242055</v>
      </c>
    </row>
    <row r="263" spans="1:8" x14ac:dyDescent="0.3">
      <c r="A263">
        <v>261</v>
      </c>
      <c r="B263">
        <v>4433</v>
      </c>
      <c r="C263">
        <v>59</v>
      </c>
      <c r="D263" t="s">
        <v>10</v>
      </c>
      <c r="E263" t="b">
        <v>0</v>
      </c>
      <c r="F263" s="1">
        <v>28869</v>
      </c>
      <c r="G263">
        <v>27</v>
      </c>
      <c r="H263">
        <v>216452</v>
      </c>
    </row>
    <row r="264" spans="1:8" x14ac:dyDescent="0.3">
      <c r="A264">
        <v>262</v>
      </c>
      <c r="B264">
        <v>2245</v>
      </c>
      <c r="C264">
        <v>49</v>
      </c>
      <c r="D264" t="s">
        <v>9</v>
      </c>
      <c r="E264" t="b">
        <v>0</v>
      </c>
      <c r="F264" s="1">
        <v>33306</v>
      </c>
      <c r="G264">
        <v>23</v>
      </c>
      <c r="H264">
        <v>175322</v>
      </c>
    </row>
    <row r="265" spans="1:8" x14ac:dyDescent="0.3">
      <c r="A265">
        <v>263</v>
      </c>
      <c r="B265">
        <v>9271</v>
      </c>
      <c r="C265">
        <v>41</v>
      </c>
      <c r="D265" t="s">
        <v>10</v>
      </c>
      <c r="E265" t="b">
        <v>1</v>
      </c>
      <c r="F265" s="1">
        <v>25776</v>
      </c>
      <c r="G265">
        <v>18</v>
      </c>
      <c r="H265">
        <v>143008</v>
      </c>
    </row>
    <row r="266" spans="1:8" x14ac:dyDescent="0.3">
      <c r="A266">
        <v>264</v>
      </c>
      <c r="B266">
        <v>9654</v>
      </c>
      <c r="C266">
        <v>42</v>
      </c>
      <c r="D266" t="s">
        <v>9</v>
      </c>
      <c r="E266" t="b">
        <v>1</v>
      </c>
      <c r="F266" s="1">
        <v>45249</v>
      </c>
      <c r="G266">
        <v>23</v>
      </c>
      <c r="H266">
        <v>188585</v>
      </c>
    </row>
    <row r="267" spans="1:8" x14ac:dyDescent="0.3">
      <c r="A267">
        <v>265</v>
      </c>
      <c r="B267">
        <v>8985</v>
      </c>
      <c r="C267">
        <v>40</v>
      </c>
      <c r="D267" t="s">
        <v>12</v>
      </c>
      <c r="E267" t="b">
        <v>1</v>
      </c>
      <c r="F267" s="1">
        <v>30896</v>
      </c>
      <c r="G267">
        <v>22</v>
      </c>
      <c r="H267">
        <v>170616</v>
      </c>
    </row>
    <row r="268" spans="1:8" x14ac:dyDescent="0.3">
      <c r="A268">
        <v>266</v>
      </c>
      <c r="B268">
        <v>2461</v>
      </c>
      <c r="C268">
        <v>29</v>
      </c>
      <c r="D268" t="s">
        <v>11</v>
      </c>
      <c r="E268" t="b">
        <v>1</v>
      </c>
      <c r="F268" s="1">
        <v>42204</v>
      </c>
      <c r="G268">
        <v>10</v>
      </c>
      <c r="H268">
        <v>76240</v>
      </c>
    </row>
    <row r="269" spans="1:8" x14ac:dyDescent="0.3">
      <c r="A269">
        <v>267</v>
      </c>
      <c r="B269">
        <v>3151</v>
      </c>
      <c r="C269">
        <v>33</v>
      </c>
      <c r="D269" t="s">
        <v>11</v>
      </c>
      <c r="E269" t="b">
        <v>1</v>
      </c>
      <c r="F269" s="1">
        <v>34309</v>
      </c>
      <c r="G269">
        <v>15</v>
      </c>
      <c r="H269">
        <v>126615</v>
      </c>
    </row>
    <row r="270" spans="1:8" x14ac:dyDescent="0.3">
      <c r="A270">
        <v>268</v>
      </c>
      <c r="B270">
        <v>7639</v>
      </c>
      <c r="C270">
        <v>56</v>
      </c>
      <c r="D270" t="s">
        <v>10</v>
      </c>
      <c r="E270" t="b">
        <v>0</v>
      </c>
      <c r="F270" s="1">
        <v>25832</v>
      </c>
      <c r="G270">
        <v>28</v>
      </c>
      <c r="H270">
        <v>229698</v>
      </c>
    </row>
    <row r="271" spans="1:8" x14ac:dyDescent="0.3">
      <c r="A271">
        <v>269</v>
      </c>
      <c r="B271">
        <v>5916</v>
      </c>
      <c r="C271">
        <v>56</v>
      </c>
      <c r="D271" t="s">
        <v>12</v>
      </c>
      <c r="E271" t="b">
        <v>0</v>
      </c>
      <c r="F271" s="1">
        <v>33732</v>
      </c>
      <c r="G271">
        <v>24</v>
      </c>
      <c r="H271">
        <v>187784</v>
      </c>
    </row>
    <row r="272" spans="1:8" x14ac:dyDescent="0.3">
      <c r="A272">
        <v>270</v>
      </c>
      <c r="B272">
        <v>9431</v>
      </c>
      <c r="C272">
        <v>36</v>
      </c>
      <c r="D272" t="s">
        <v>8</v>
      </c>
      <c r="E272" t="b">
        <v>1</v>
      </c>
      <c r="F272" s="1">
        <v>40317</v>
      </c>
      <c r="G272">
        <v>16</v>
      </c>
      <c r="H272">
        <v>138129</v>
      </c>
    </row>
    <row r="273" spans="1:8" x14ac:dyDescent="0.3">
      <c r="A273">
        <v>271</v>
      </c>
      <c r="B273">
        <v>3881</v>
      </c>
      <c r="C273">
        <v>23</v>
      </c>
      <c r="D273" t="s">
        <v>12</v>
      </c>
      <c r="E273" t="b">
        <v>1</v>
      </c>
      <c r="F273" s="1">
        <v>26336</v>
      </c>
      <c r="G273">
        <v>9</v>
      </c>
      <c r="H273">
        <v>67144</v>
      </c>
    </row>
    <row r="274" spans="1:8" x14ac:dyDescent="0.3">
      <c r="A274">
        <v>272</v>
      </c>
      <c r="B274">
        <v>4413</v>
      </c>
      <c r="C274">
        <v>64</v>
      </c>
      <c r="D274" t="s">
        <v>10</v>
      </c>
      <c r="E274" t="b">
        <v>0</v>
      </c>
      <c r="F274" s="1">
        <v>38469</v>
      </c>
      <c r="G274">
        <v>29</v>
      </c>
      <c r="H274">
        <v>239949</v>
      </c>
    </row>
    <row r="275" spans="1:8" x14ac:dyDescent="0.3">
      <c r="A275">
        <v>273</v>
      </c>
      <c r="B275">
        <v>6996</v>
      </c>
      <c r="C275">
        <v>50</v>
      </c>
      <c r="D275" t="s">
        <v>12</v>
      </c>
      <c r="E275" t="b">
        <v>1</v>
      </c>
      <c r="F275" s="1">
        <v>30504</v>
      </c>
      <c r="G275">
        <v>21</v>
      </c>
      <c r="H275">
        <v>179365</v>
      </c>
    </row>
    <row r="276" spans="1:8" x14ac:dyDescent="0.3">
      <c r="A276">
        <v>274</v>
      </c>
      <c r="B276">
        <v>9067</v>
      </c>
      <c r="C276">
        <v>50</v>
      </c>
      <c r="D276" t="s">
        <v>10</v>
      </c>
      <c r="E276" t="b">
        <v>1</v>
      </c>
      <c r="F276" s="1">
        <v>27018</v>
      </c>
      <c r="G276">
        <v>24</v>
      </c>
      <c r="H276">
        <v>187838</v>
      </c>
    </row>
    <row r="277" spans="1:8" x14ac:dyDescent="0.3">
      <c r="A277">
        <v>275</v>
      </c>
      <c r="B277">
        <v>7346</v>
      </c>
      <c r="C277">
        <v>25</v>
      </c>
      <c r="D277" t="s">
        <v>8</v>
      </c>
      <c r="E277" t="b">
        <v>0</v>
      </c>
      <c r="F277" s="1">
        <v>43285</v>
      </c>
      <c r="G277">
        <v>16</v>
      </c>
      <c r="H277">
        <v>132450</v>
      </c>
    </row>
    <row r="278" spans="1:8" x14ac:dyDescent="0.3">
      <c r="A278">
        <v>276</v>
      </c>
      <c r="B278">
        <v>5348</v>
      </c>
      <c r="C278">
        <v>51</v>
      </c>
      <c r="D278" t="s">
        <v>12</v>
      </c>
      <c r="E278" t="b">
        <v>0</v>
      </c>
      <c r="F278" s="1">
        <v>34080</v>
      </c>
      <c r="G278">
        <v>27</v>
      </c>
      <c r="H278">
        <v>205100</v>
      </c>
    </row>
    <row r="279" spans="1:8" x14ac:dyDescent="0.3">
      <c r="A279">
        <v>277</v>
      </c>
      <c r="B279">
        <v>8654</v>
      </c>
      <c r="C279">
        <v>33</v>
      </c>
      <c r="D279" t="s">
        <v>11</v>
      </c>
      <c r="E279" t="b">
        <v>0</v>
      </c>
      <c r="F279" s="1">
        <v>32108</v>
      </c>
      <c r="G279">
        <v>14</v>
      </c>
      <c r="H279">
        <v>116747</v>
      </c>
    </row>
    <row r="280" spans="1:8" x14ac:dyDescent="0.3">
      <c r="A280">
        <v>278</v>
      </c>
      <c r="B280">
        <v>6135</v>
      </c>
      <c r="C280">
        <v>39</v>
      </c>
      <c r="D280" t="s">
        <v>12</v>
      </c>
      <c r="E280" t="b">
        <v>0</v>
      </c>
      <c r="F280" s="1">
        <v>32578</v>
      </c>
      <c r="G280">
        <v>20</v>
      </c>
      <c r="H280">
        <v>163267</v>
      </c>
    </row>
    <row r="281" spans="1:8" x14ac:dyDescent="0.3">
      <c r="A281">
        <v>279</v>
      </c>
      <c r="B281">
        <v>9855</v>
      </c>
      <c r="C281">
        <v>52</v>
      </c>
      <c r="D281" t="s">
        <v>12</v>
      </c>
      <c r="E281" t="b">
        <v>0</v>
      </c>
      <c r="F281" s="1">
        <v>37115</v>
      </c>
      <c r="G281">
        <v>25</v>
      </c>
      <c r="H281">
        <v>201417</v>
      </c>
    </row>
    <row r="282" spans="1:8" x14ac:dyDescent="0.3">
      <c r="A282">
        <v>280</v>
      </c>
      <c r="B282">
        <v>4372</v>
      </c>
      <c r="C282">
        <v>24</v>
      </c>
      <c r="D282" t="s">
        <v>12</v>
      </c>
      <c r="E282" t="b">
        <v>0</v>
      </c>
      <c r="F282" s="1">
        <v>39425</v>
      </c>
      <c r="G282">
        <v>10</v>
      </c>
      <c r="H282">
        <v>81020</v>
      </c>
    </row>
    <row r="283" spans="1:8" x14ac:dyDescent="0.3">
      <c r="A283">
        <v>281</v>
      </c>
      <c r="B283">
        <v>5929</v>
      </c>
      <c r="C283">
        <v>54</v>
      </c>
      <c r="D283" t="s">
        <v>8</v>
      </c>
      <c r="E283" t="b">
        <v>0</v>
      </c>
      <c r="F283" s="1">
        <v>43766</v>
      </c>
      <c r="G283">
        <v>28</v>
      </c>
      <c r="H283">
        <v>223674</v>
      </c>
    </row>
    <row r="284" spans="1:8" x14ac:dyDescent="0.3">
      <c r="A284">
        <v>282</v>
      </c>
      <c r="B284">
        <v>3596</v>
      </c>
      <c r="C284">
        <v>47</v>
      </c>
      <c r="D284" t="s">
        <v>9</v>
      </c>
      <c r="E284" t="b">
        <v>1</v>
      </c>
      <c r="F284" s="1">
        <v>36206</v>
      </c>
      <c r="G284">
        <v>26</v>
      </c>
      <c r="H284">
        <v>210860</v>
      </c>
    </row>
    <row r="285" spans="1:8" x14ac:dyDescent="0.3">
      <c r="A285">
        <v>283</v>
      </c>
      <c r="B285">
        <v>5750</v>
      </c>
      <c r="C285">
        <v>43</v>
      </c>
      <c r="D285" t="s">
        <v>8</v>
      </c>
      <c r="E285" t="b">
        <v>1</v>
      </c>
      <c r="F285" s="1">
        <v>44767</v>
      </c>
      <c r="G285">
        <v>21</v>
      </c>
      <c r="H285">
        <v>166151</v>
      </c>
    </row>
    <row r="286" spans="1:8" x14ac:dyDescent="0.3">
      <c r="A286">
        <v>284</v>
      </c>
      <c r="B286">
        <v>6969</v>
      </c>
      <c r="C286">
        <v>49</v>
      </c>
      <c r="D286" t="s">
        <v>9</v>
      </c>
      <c r="E286" t="b">
        <v>1</v>
      </c>
      <c r="F286" s="1">
        <v>38161</v>
      </c>
      <c r="G286">
        <v>27</v>
      </c>
      <c r="H286">
        <v>221768</v>
      </c>
    </row>
    <row r="287" spans="1:8" x14ac:dyDescent="0.3">
      <c r="A287">
        <v>285</v>
      </c>
      <c r="B287">
        <v>9046</v>
      </c>
      <c r="C287">
        <v>61</v>
      </c>
      <c r="D287" t="s">
        <v>10</v>
      </c>
      <c r="E287" t="b">
        <v>1</v>
      </c>
      <c r="F287" s="1">
        <v>44615</v>
      </c>
      <c r="G287">
        <v>28</v>
      </c>
      <c r="H287">
        <v>228336</v>
      </c>
    </row>
    <row r="288" spans="1:8" x14ac:dyDescent="0.3">
      <c r="A288">
        <v>286</v>
      </c>
      <c r="B288">
        <v>4744</v>
      </c>
      <c r="C288">
        <v>23</v>
      </c>
      <c r="D288" t="s">
        <v>8</v>
      </c>
      <c r="E288" t="b">
        <v>0</v>
      </c>
      <c r="F288" s="1">
        <v>35517</v>
      </c>
      <c r="G288">
        <v>10</v>
      </c>
      <c r="H288">
        <v>83287</v>
      </c>
    </row>
    <row r="289" spans="1:8" x14ac:dyDescent="0.3">
      <c r="A289">
        <v>287</v>
      </c>
      <c r="B289">
        <v>9279</v>
      </c>
      <c r="C289">
        <v>34</v>
      </c>
      <c r="D289" t="s">
        <v>11</v>
      </c>
      <c r="E289" t="b">
        <v>0</v>
      </c>
      <c r="F289" s="1">
        <v>25625</v>
      </c>
      <c r="G289">
        <v>14</v>
      </c>
      <c r="H289">
        <v>107405</v>
      </c>
    </row>
    <row r="290" spans="1:8" x14ac:dyDescent="0.3">
      <c r="A290">
        <v>288</v>
      </c>
      <c r="B290">
        <v>8703</v>
      </c>
      <c r="C290">
        <v>28</v>
      </c>
      <c r="D290" t="s">
        <v>8</v>
      </c>
      <c r="E290" t="b">
        <v>1</v>
      </c>
      <c r="F290" s="1">
        <v>36160</v>
      </c>
      <c r="G290">
        <v>14</v>
      </c>
      <c r="H290">
        <v>108456</v>
      </c>
    </row>
    <row r="291" spans="1:8" x14ac:dyDescent="0.3">
      <c r="A291">
        <v>289</v>
      </c>
      <c r="B291">
        <v>1390</v>
      </c>
      <c r="C291">
        <v>62</v>
      </c>
      <c r="D291" t="s">
        <v>10</v>
      </c>
      <c r="E291" t="b">
        <v>1</v>
      </c>
      <c r="F291" s="1">
        <v>39163</v>
      </c>
      <c r="G291">
        <v>34</v>
      </c>
      <c r="H291">
        <v>266769</v>
      </c>
    </row>
    <row r="292" spans="1:8" x14ac:dyDescent="0.3">
      <c r="A292">
        <v>290</v>
      </c>
      <c r="B292">
        <v>3432</v>
      </c>
      <c r="C292">
        <v>60</v>
      </c>
      <c r="D292" t="s">
        <v>10</v>
      </c>
      <c r="E292" t="b">
        <v>0</v>
      </c>
      <c r="F292" s="1">
        <v>33015</v>
      </c>
      <c r="G292">
        <v>28</v>
      </c>
      <c r="H292">
        <v>220626</v>
      </c>
    </row>
    <row r="293" spans="1:8" x14ac:dyDescent="0.3">
      <c r="A293">
        <v>291</v>
      </c>
      <c r="B293">
        <v>6674</v>
      </c>
      <c r="C293">
        <v>27</v>
      </c>
      <c r="D293" t="s">
        <v>9</v>
      </c>
      <c r="E293" t="b">
        <v>1</v>
      </c>
      <c r="F293" s="1">
        <v>40099</v>
      </c>
      <c r="G293">
        <v>11</v>
      </c>
      <c r="H293">
        <v>87783</v>
      </c>
    </row>
    <row r="294" spans="1:8" x14ac:dyDescent="0.3">
      <c r="A294">
        <v>292</v>
      </c>
      <c r="B294">
        <v>9406</v>
      </c>
      <c r="C294">
        <v>55</v>
      </c>
      <c r="D294" t="s">
        <v>11</v>
      </c>
      <c r="E294" t="b">
        <v>1</v>
      </c>
      <c r="F294" s="1">
        <v>36336</v>
      </c>
      <c r="G294">
        <v>28</v>
      </c>
      <c r="H294">
        <v>222819</v>
      </c>
    </row>
    <row r="295" spans="1:8" x14ac:dyDescent="0.3">
      <c r="A295">
        <v>293</v>
      </c>
      <c r="B295">
        <v>5410</v>
      </c>
      <c r="C295">
        <v>38</v>
      </c>
      <c r="D295" t="s">
        <v>8</v>
      </c>
      <c r="E295" t="b">
        <v>0</v>
      </c>
      <c r="F295" s="1">
        <v>41760</v>
      </c>
      <c r="G295">
        <v>19</v>
      </c>
      <c r="H295">
        <v>156891</v>
      </c>
    </row>
    <row r="296" spans="1:8" x14ac:dyDescent="0.3">
      <c r="A296">
        <v>294</v>
      </c>
      <c r="B296">
        <v>1985</v>
      </c>
      <c r="C296">
        <v>41</v>
      </c>
      <c r="D296" t="s">
        <v>10</v>
      </c>
      <c r="E296" t="b">
        <v>1</v>
      </c>
      <c r="F296" s="1">
        <v>45136</v>
      </c>
      <c r="G296">
        <v>20</v>
      </c>
      <c r="H296">
        <v>166454</v>
      </c>
    </row>
    <row r="297" spans="1:8" x14ac:dyDescent="0.3">
      <c r="A297">
        <v>295</v>
      </c>
      <c r="B297">
        <v>1586</v>
      </c>
      <c r="C297">
        <v>59</v>
      </c>
      <c r="D297" t="s">
        <v>8</v>
      </c>
      <c r="E297" t="b">
        <v>0</v>
      </c>
      <c r="F297" s="1">
        <v>29064</v>
      </c>
      <c r="G297">
        <v>28</v>
      </c>
      <c r="H297">
        <v>219860</v>
      </c>
    </row>
    <row r="298" spans="1:8" x14ac:dyDescent="0.3">
      <c r="A298">
        <v>296</v>
      </c>
      <c r="B298">
        <v>6512</v>
      </c>
      <c r="C298">
        <v>32</v>
      </c>
      <c r="D298" t="s">
        <v>11</v>
      </c>
      <c r="E298" t="b">
        <v>0</v>
      </c>
      <c r="F298" s="1">
        <v>29698</v>
      </c>
      <c r="G298">
        <v>14</v>
      </c>
      <c r="H298">
        <v>119827</v>
      </c>
    </row>
    <row r="299" spans="1:8" x14ac:dyDescent="0.3">
      <c r="A299">
        <v>297</v>
      </c>
      <c r="B299">
        <v>4130</v>
      </c>
      <c r="C299">
        <v>50</v>
      </c>
      <c r="D299" t="s">
        <v>12</v>
      </c>
      <c r="E299" t="b">
        <v>1</v>
      </c>
      <c r="F299" s="1">
        <v>25690</v>
      </c>
      <c r="G299">
        <v>25</v>
      </c>
      <c r="H299">
        <v>200843</v>
      </c>
    </row>
    <row r="300" spans="1:8" x14ac:dyDescent="0.3">
      <c r="A300">
        <v>298</v>
      </c>
      <c r="B300">
        <v>1545</v>
      </c>
      <c r="C300">
        <v>34</v>
      </c>
      <c r="D300" t="s">
        <v>9</v>
      </c>
      <c r="E300" t="b">
        <v>1</v>
      </c>
      <c r="F300" s="1">
        <v>42380</v>
      </c>
      <c r="G300">
        <v>17</v>
      </c>
      <c r="H300">
        <v>134412</v>
      </c>
    </row>
    <row r="301" spans="1:8" x14ac:dyDescent="0.3">
      <c r="A301">
        <v>299</v>
      </c>
      <c r="B301">
        <v>8876</v>
      </c>
      <c r="C301">
        <v>58</v>
      </c>
      <c r="D301" t="s">
        <v>9</v>
      </c>
      <c r="E301" t="b">
        <v>1</v>
      </c>
      <c r="F301" s="1">
        <v>35975</v>
      </c>
      <c r="G301">
        <v>29</v>
      </c>
      <c r="H301">
        <v>232716</v>
      </c>
    </row>
    <row r="302" spans="1:8" x14ac:dyDescent="0.3">
      <c r="A302">
        <v>300</v>
      </c>
      <c r="B302">
        <v>6444</v>
      </c>
      <c r="C302">
        <v>23</v>
      </c>
      <c r="D302" t="s">
        <v>8</v>
      </c>
      <c r="E302" t="b">
        <v>0</v>
      </c>
      <c r="F302" s="1">
        <v>29502</v>
      </c>
      <c r="G302">
        <v>13</v>
      </c>
      <c r="H302">
        <v>103933</v>
      </c>
    </row>
    <row r="303" spans="1:8" x14ac:dyDescent="0.3">
      <c r="A303">
        <v>301</v>
      </c>
      <c r="B303">
        <v>6852</v>
      </c>
      <c r="C303">
        <v>25</v>
      </c>
      <c r="D303" t="s">
        <v>9</v>
      </c>
      <c r="E303" t="b">
        <v>0</v>
      </c>
      <c r="F303" s="1">
        <v>40097</v>
      </c>
      <c r="G303">
        <v>12</v>
      </c>
      <c r="H303">
        <v>92047</v>
      </c>
    </row>
    <row r="304" spans="1:8" x14ac:dyDescent="0.3">
      <c r="A304">
        <v>302</v>
      </c>
      <c r="B304">
        <v>7321</v>
      </c>
      <c r="C304">
        <v>44</v>
      </c>
      <c r="D304" t="s">
        <v>9</v>
      </c>
      <c r="E304" t="b">
        <v>1</v>
      </c>
      <c r="F304" s="1">
        <v>41570</v>
      </c>
      <c r="G304">
        <v>22</v>
      </c>
      <c r="H304">
        <v>172886</v>
      </c>
    </row>
    <row r="305" spans="1:8" x14ac:dyDescent="0.3">
      <c r="A305">
        <v>303</v>
      </c>
      <c r="B305">
        <v>5556</v>
      </c>
      <c r="C305">
        <v>37</v>
      </c>
      <c r="D305" t="s">
        <v>12</v>
      </c>
      <c r="E305" t="b">
        <v>1</v>
      </c>
      <c r="F305" s="1">
        <v>29552</v>
      </c>
      <c r="G305">
        <v>17</v>
      </c>
      <c r="H305">
        <v>138827</v>
      </c>
    </row>
    <row r="306" spans="1:8" x14ac:dyDescent="0.3">
      <c r="A306">
        <v>304</v>
      </c>
      <c r="B306">
        <v>2377</v>
      </c>
      <c r="C306">
        <v>46</v>
      </c>
      <c r="D306" t="s">
        <v>8</v>
      </c>
      <c r="E306" t="b">
        <v>1</v>
      </c>
      <c r="F306" s="1">
        <v>39004</v>
      </c>
      <c r="G306">
        <v>22</v>
      </c>
      <c r="H306">
        <v>180896</v>
      </c>
    </row>
    <row r="307" spans="1:8" x14ac:dyDescent="0.3">
      <c r="A307">
        <v>305</v>
      </c>
      <c r="B307">
        <v>1169</v>
      </c>
      <c r="C307">
        <v>39</v>
      </c>
      <c r="D307" t="s">
        <v>9</v>
      </c>
      <c r="E307" t="b">
        <v>0</v>
      </c>
      <c r="F307" s="1">
        <v>34483</v>
      </c>
      <c r="G307">
        <v>17</v>
      </c>
      <c r="H307">
        <v>130190</v>
      </c>
    </row>
    <row r="308" spans="1:8" x14ac:dyDescent="0.3">
      <c r="A308">
        <v>306</v>
      </c>
      <c r="B308">
        <v>3130</v>
      </c>
      <c r="C308">
        <v>58</v>
      </c>
      <c r="D308" t="s">
        <v>12</v>
      </c>
      <c r="E308" t="b">
        <v>1</v>
      </c>
      <c r="F308" s="1">
        <v>25658</v>
      </c>
      <c r="G308">
        <v>26</v>
      </c>
      <c r="H308">
        <v>215277</v>
      </c>
    </row>
    <row r="309" spans="1:8" x14ac:dyDescent="0.3">
      <c r="A309">
        <v>307</v>
      </c>
      <c r="B309">
        <v>8296</v>
      </c>
      <c r="C309">
        <v>47</v>
      </c>
      <c r="D309" t="s">
        <v>10</v>
      </c>
      <c r="E309" t="b">
        <v>1</v>
      </c>
      <c r="F309" s="1">
        <v>27344</v>
      </c>
      <c r="G309">
        <v>26</v>
      </c>
      <c r="H309">
        <v>206424</v>
      </c>
    </row>
    <row r="310" spans="1:8" x14ac:dyDescent="0.3">
      <c r="A310">
        <v>308</v>
      </c>
      <c r="B310">
        <v>1465</v>
      </c>
      <c r="C310">
        <v>49</v>
      </c>
      <c r="D310" t="s">
        <v>11</v>
      </c>
      <c r="E310" t="b">
        <v>1</v>
      </c>
      <c r="F310" s="1">
        <v>39766</v>
      </c>
      <c r="G310">
        <v>23</v>
      </c>
      <c r="H310">
        <v>183184</v>
      </c>
    </row>
    <row r="311" spans="1:8" x14ac:dyDescent="0.3">
      <c r="A311">
        <v>309</v>
      </c>
      <c r="B311">
        <v>2460</v>
      </c>
      <c r="C311">
        <v>49</v>
      </c>
      <c r="D311" t="s">
        <v>10</v>
      </c>
      <c r="E311" t="b">
        <v>0</v>
      </c>
      <c r="F311" s="1">
        <v>44882</v>
      </c>
      <c r="G311">
        <v>27</v>
      </c>
      <c r="H311">
        <v>214559</v>
      </c>
    </row>
    <row r="312" spans="1:8" x14ac:dyDescent="0.3">
      <c r="A312">
        <v>310</v>
      </c>
      <c r="B312">
        <v>5218</v>
      </c>
      <c r="C312">
        <v>23</v>
      </c>
      <c r="D312" t="s">
        <v>12</v>
      </c>
      <c r="E312" t="b">
        <v>0</v>
      </c>
      <c r="F312" s="1">
        <v>41064</v>
      </c>
      <c r="G312">
        <v>13</v>
      </c>
      <c r="H312">
        <v>108976</v>
      </c>
    </row>
    <row r="313" spans="1:8" x14ac:dyDescent="0.3">
      <c r="A313">
        <v>311</v>
      </c>
      <c r="B313">
        <v>2582</v>
      </c>
      <c r="C313">
        <v>61</v>
      </c>
      <c r="D313" t="s">
        <v>9</v>
      </c>
      <c r="E313" t="b">
        <v>0</v>
      </c>
      <c r="F313" s="1">
        <v>38435</v>
      </c>
      <c r="G313">
        <v>28</v>
      </c>
      <c r="H313">
        <v>219409</v>
      </c>
    </row>
    <row r="314" spans="1:8" x14ac:dyDescent="0.3">
      <c r="A314">
        <v>312</v>
      </c>
      <c r="B314">
        <v>7872</v>
      </c>
      <c r="C314">
        <v>60</v>
      </c>
      <c r="D314" t="s">
        <v>11</v>
      </c>
      <c r="E314" t="b">
        <v>1</v>
      </c>
      <c r="F314" s="1">
        <v>43143</v>
      </c>
      <c r="G314">
        <v>28</v>
      </c>
      <c r="H314">
        <v>227772</v>
      </c>
    </row>
    <row r="315" spans="1:8" x14ac:dyDescent="0.3">
      <c r="A315">
        <v>313</v>
      </c>
      <c r="B315">
        <v>1548</v>
      </c>
      <c r="C315">
        <v>47</v>
      </c>
      <c r="D315" t="s">
        <v>11</v>
      </c>
      <c r="E315" t="b">
        <v>0</v>
      </c>
      <c r="F315" s="1">
        <v>26707</v>
      </c>
      <c r="G315">
        <v>21</v>
      </c>
      <c r="H315">
        <v>165170</v>
      </c>
    </row>
    <row r="316" spans="1:8" x14ac:dyDescent="0.3">
      <c r="A316">
        <v>314</v>
      </c>
      <c r="B316">
        <v>6510</v>
      </c>
      <c r="C316">
        <v>64</v>
      </c>
      <c r="D316" t="s">
        <v>8</v>
      </c>
      <c r="E316" t="b">
        <v>0</v>
      </c>
      <c r="F316" s="1">
        <v>36007</v>
      </c>
      <c r="G316">
        <v>29</v>
      </c>
      <c r="H316">
        <v>234199</v>
      </c>
    </row>
    <row r="317" spans="1:8" x14ac:dyDescent="0.3">
      <c r="A317">
        <v>315</v>
      </c>
      <c r="B317">
        <v>6788</v>
      </c>
      <c r="C317">
        <v>48</v>
      </c>
      <c r="D317" t="s">
        <v>8</v>
      </c>
      <c r="E317" t="b">
        <v>0</v>
      </c>
      <c r="F317" s="1">
        <v>30833</v>
      </c>
      <c r="G317">
        <v>26</v>
      </c>
      <c r="H317">
        <v>212050</v>
      </c>
    </row>
    <row r="318" spans="1:8" x14ac:dyDescent="0.3">
      <c r="A318">
        <v>316</v>
      </c>
      <c r="B318">
        <v>7404</v>
      </c>
      <c r="C318">
        <v>54</v>
      </c>
      <c r="D318" t="s">
        <v>12</v>
      </c>
      <c r="E318" t="b">
        <v>1</v>
      </c>
      <c r="F318" s="1">
        <v>43397</v>
      </c>
      <c r="G318">
        <v>31</v>
      </c>
      <c r="H318">
        <v>249856</v>
      </c>
    </row>
    <row r="319" spans="1:8" x14ac:dyDescent="0.3">
      <c r="A319">
        <v>317</v>
      </c>
      <c r="B319">
        <v>6438</v>
      </c>
      <c r="C319">
        <v>37</v>
      </c>
      <c r="D319" t="s">
        <v>10</v>
      </c>
      <c r="E319" t="b">
        <v>1</v>
      </c>
      <c r="F319" s="1">
        <v>40253</v>
      </c>
      <c r="G319">
        <v>18</v>
      </c>
      <c r="H319">
        <v>149464</v>
      </c>
    </row>
    <row r="320" spans="1:8" x14ac:dyDescent="0.3">
      <c r="A320">
        <v>318</v>
      </c>
      <c r="B320">
        <v>4847</v>
      </c>
      <c r="C320">
        <v>37</v>
      </c>
      <c r="D320" t="s">
        <v>9</v>
      </c>
      <c r="E320" t="b">
        <v>1</v>
      </c>
      <c r="F320" s="1">
        <v>27184</v>
      </c>
      <c r="G320">
        <v>16</v>
      </c>
      <c r="H320">
        <v>124970</v>
      </c>
    </row>
    <row r="321" spans="1:8" x14ac:dyDescent="0.3">
      <c r="A321">
        <v>319</v>
      </c>
      <c r="B321">
        <v>7292</v>
      </c>
      <c r="C321">
        <v>61</v>
      </c>
      <c r="D321" t="s">
        <v>11</v>
      </c>
      <c r="E321" t="b">
        <v>1</v>
      </c>
      <c r="F321" s="1">
        <v>39194</v>
      </c>
      <c r="G321">
        <v>32</v>
      </c>
      <c r="H321">
        <v>256982</v>
      </c>
    </row>
    <row r="322" spans="1:8" x14ac:dyDescent="0.3">
      <c r="A322">
        <v>320</v>
      </c>
      <c r="B322">
        <v>6925</v>
      </c>
      <c r="C322">
        <v>61</v>
      </c>
      <c r="D322" t="s">
        <v>12</v>
      </c>
      <c r="E322" t="b">
        <v>0</v>
      </c>
      <c r="F322" s="1">
        <v>30611</v>
      </c>
      <c r="G322">
        <v>31</v>
      </c>
      <c r="H322">
        <v>243928</v>
      </c>
    </row>
    <row r="323" spans="1:8" x14ac:dyDescent="0.3">
      <c r="A323">
        <v>321</v>
      </c>
      <c r="B323">
        <v>2232</v>
      </c>
      <c r="C323">
        <v>46</v>
      </c>
      <c r="D323" t="s">
        <v>11</v>
      </c>
      <c r="E323" t="b">
        <v>1</v>
      </c>
      <c r="F323" s="1">
        <v>34450</v>
      </c>
      <c r="G323">
        <v>23</v>
      </c>
      <c r="H323">
        <v>189606</v>
      </c>
    </row>
    <row r="324" spans="1:8" x14ac:dyDescent="0.3">
      <c r="A324">
        <v>322</v>
      </c>
      <c r="B324">
        <v>3471</v>
      </c>
      <c r="C324">
        <v>32</v>
      </c>
      <c r="D324" t="s">
        <v>10</v>
      </c>
      <c r="E324" t="b">
        <v>0</v>
      </c>
      <c r="F324" s="1">
        <v>39743</v>
      </c>
      <c r="G324">
        <v>16</v>
      </c>
      <c r="H324">
        <v>124879</v>
      </c>
    </row>
    <row r="325" spans="1:8" x14ac:dyDescent="0.3">
      <c r="A325">
        <v>323</v>
      </c>
      <c r="B325">
        <v>3537</v>
      </c>
      <c r="C325">
        <v>34</v>
      </c>
      <c r="D325" t="s">
        <v>8</v>
      </c>
      <c r="E325" t="b">
        <v>1</v>
      </c>
      <c r="F325" s="1">
        <v>43135</v>
      </c>
      <c r="G325">
        <v>15</v>
      </c>
      <c r="H325">
        <v>121239</v>
      </c>
    </row>
    <row r="326" spans="1:8" x14ac:dyDescent="0.3">
      <c r="A326">
        <v>324</v>
      </c>
      <c r="B326">
        <v>9164</v>
      </c>
      <c r="C326">
        <v>25</v>
      </c>
      <c r="D326" t="s">
        <v>8</v>
      </c>
      <c r="E326" t="b">
        <v>0</v>
      </c>
      <c r="F326" s="1">
        <v>43672</v>
      </c>
      <c r="G326">
        <v>9</v>
      </c>
      <c r="H326">
        <v>75895</v>
      </c>
    </row>
    <row r="327" spans="1:8" x14ac:dyDescent="0.3">
      <c r="A327">
        <v>325</v>
      </c>
      <c r="B327">
        <v>6318</v>
      </c>
      <c r="C327">
        <v>42</v>
      </c>
      <c r="D327" t="s">
        <v>10</v>
      </c>
      <c r="E327" t="b">
        <v>0</v>
      </c>
      <c r="F327" s="1">
        <v>29526</v>
      </c>
      <c r="G327">
        <v>22</v>
      </c>
      <c r="H327">
        <v>176472</v>
      </c>
    </row>
    <row r="328" spans="1:8" x14ac:dyDescent="0.3">
      <c r="A328">
        <v>326</v>
      </c>
      <c r="B328">
        <v>9734</v>
      </c>
      <c r="C328">
        <v>52</v>
      </c>
      <c r="D328" t="s">
        <v>10</v>
      </c>
      <c r="E328" t="b">
        <v>1</v>
      </c>
      <c r="F328" s="1">
        <v>40774</v>
      </c>
      <c r="G328">
        <v>27</v>
      </c>
      <c r="H328">
        <v>212809</v>
      </c>
    </row>
    <row r="329" spans="1:8" x14ac:dyDescent="0.3">
      <c r="A329">
        <v>327</v>
      </c>
      <c r="B329">
        <v>6820</v>
      </c>
      <c r="C329">
        <v>42</v>
      </c>
      <c r="D329" t="s">
        <v>9</v>
      </c>
      <c r="E329" t="b">
        <v>0</v>
      </c>
      <c r="F329" s="1">
        <v>29839</v>
      </c>
      <c r="G329">
        <v>20</v>
      </c>
      <c r="H329">
        <v>163828</v>
      </c>
    </row>
    <row r="330" spans="1:8" x14ac:dyDescent="0.3">
      <c r="A330">
        <v>328</v>
      </c>
      <c r="B330">
        <v>5827</v>
      </c>
      <c r="C330">
        <v>27</v>
      </c>
      <c r="D330" t="s">
        <v>11</v>
      </c>
      <c r="E330" t="b">
        <v>0</v>
      </c>
      <c r="F330" s="1">
        <v>33797</v>
      </c>
      <c r="G330">
        <v>13</v>
      </c>
      <c r="H330">
        <v>108619</v>
      </c>
    </row>
    <row r="331" spans="1:8" x14ac:dyDescent="0.3">
      <c r="A331">
        <v>329</v>
      </c>
      <c r="B331">
        <v>5708</v>
      </c>
      <c r="C331">
        <v>37</v>
      </c>
      <c r="D331" t="s">
        <v>11</v>
      </c>
      <c r="E331" t="b">
        <v>1</v>
      </c>
      <c r="F331" s="1">
        <v>32970</v>
      </c>
      <c r="G331">
        <v>19</v>
      </c>
      <c r="H331">
        <v>152992</v>
      </c>
    </row>
    <row r="332" spans="1:8" x14ac:dyDescent="0.3">
      <c r="A332">
        <v>330</v>
      </c>
      <c r="B332">
        <v>9126</v>
      </c>
      <c r="C332">
        <v>43</v>
      </c>
      <c r="D332" t="s">
        <v>10</v>
      </c>
      <c r="E332" t="b">
        <v>0</v>
      </c>
      <c r="F332" s="1">
        <v>37491</v>
      </c>
      <c r="G332">
        <v>20</v>
      </c>
      <c r="H332">
        <v>154462</v>
      </c>
    </row>
    <row r="333" spans="1:8" x14ac:dyDescent="0.3">
      <c r="A333">
        <v>331</v>
      </c>
      <c r="B333">
        <v>1862</v>
      </c>
      <c r="C333">
        <v>39</v>
      </c>
      <c r="D333" t="s">
        <v>9</v>
      </c>
      <c r="E333" t="b">
        <v>1</v>
      </c>
      <c r="F333" s="1">
        <v>42730</v>
      </c>
      <c r="G333">
        <v>18</v>
      </c>
      <c r="H333">
        <v>143605</v>
      </c>
    </row>
    <row r="334" spans="1:8" x14ac:dyDescent="0.3">
      <c r="A334">
        <v>332</v>
      </c>
      <c r="B334">
        <v>3905</v>
      </c>
      <c r="C334">
        <v>39</v>
      </c>
      <c r="D334" t="s">
        <v>8</v>
      </c>
      <c r="E334" t="b">
        <v>0</v>
      </c>
      <c r="F334" s="1">
        <v>35580</v>
      </c>
      <c r="G334">
        <v>15</v>
      </c>
      <c r="H334">
        <v>117870</v>
      </c>
    </row>
    <row r="335" spans="1:8" x14ac:dyDescent="0.3">
      <c r="A335">
        <v>333</v>
      </c>
      <c r="B335">
        <v>5504</v>
      </c>
      <c r="C335">
        <v>54</v>
      </c>
      <c r="D335" t="s">
        <v>8</v>
      </c>
      <c r="E335" t="b">
        <v>1</v>
      </c>
      <c r="F335" s="1">
        <v>39631</v>
      </c>
      <c r="G335">
        <v>28</v>
      </c>
      <c r="H335">
        <v>223902</v>
      </c>
    </row>
    <row r="336" spans="1:8" x14ac:dyDescent="0.3">
      <c r="A336">
        <v>334</v>
      </c>
      <c r="B336">
        <v>1819</v>
      </c>
      <c r="C336">
        <v>31</v>
      </c>
      <c r="D336" t="s">
        <v>11</v>
      </c>
      <c r="E336" t="b">
        <v>1</v>
      </c>
      <c r="F336" s="1">
        <v>39961</v>
      </c>
      <c r="G336">
        <v>14</v>
      </c>
      <c r="H336">
        <v>115875</v>
      </c>
    </row>
    <row r="337" spans="1:8" x14ac:dyDescent="0.3">
      <c r="A337">
        <v>335</v>
      </c>
      <c r="B337">
        <v>2901</v>
      </c>
      <c r="C337">
        <v>46</v>
      </c>
      <c r="D337" t="s">
        <v>10</v>
      </c>
      <c r="E337" t="b">
        <v>0</v>
      </c>
      <c r="F337" s="1">
        <v>38082</v>
      </c>
      <c r="G337">
        <v>24</v>
      </c>
      <c r="H337">
        <v>187168</v>
      </c>
    </row>
    <row r="338" spans="1:8" x14ac:dyDescent="0.3">
      <c r="A338">
        <v>336</v>
      </c>
      <c r="B338">
        <v>8229</v>
      </c>
      <c r="C338">
        <v>64</v>
      </c>
      <c r="D338" t="s">
        <v>10</v>
      </c>
      <c r="E338" t="b">
        <v>1</v>
      </c>
      <c r="F338" s="1">
        <v>35757</v>
      </c>
      <c r="G338">
        <v>33</v>
      </c>
      <c r="H338">
        <v>265624</v>
      </c>
    </row>
    <row r="339" spans="1:8" x14ac:dyDescent="0.3">
      <c r="A339">
        <v>337</v>
      </c>
      <c r="B339">
        <v>9442</v>
      </c>
      <c r="C339">
        <v>62</v>
      </c>
      <c r="D339" t="s">
        <v>10</v>
      </c>
      <c r="E339" t="b">
        <v>0</v>
      </c>
      <c r="F339" s="1">
        <v>36899</v>
      </c>
      <c r="G339">
        <v>32</v>
      </c>
      <c r="H339">
        <v>259400</v>
      </c>
    </row>
    <row r="340" spans="1:8" x14ac:dyDescent="0.3">
      <c r="A340">
        <v>338</v>
      </c>
      <c r="B340">
        <v>4796</v>
      </c>
      <c r="C340">
        <v>28</v>
      </c>
      <c r="D340" t="s">
        <v>8</v>
      </c>
      <c r="E340" t="b">
        <v>1</v>
      </c>
      <c r="F340" s="1">
        <v>31129</v>
      </c>
      <c r="G340">
        <v>15</v>
      </c>
      <c r="H340">
        <v>113486</v>
      </c>
    </row>
    <row r="341" spans="1:8" x14ac:dyDescent="0.3">
      <c r="A341">
        <v>339</v>
      </c>
      <c r="B341">
        <v>1890</v>
      </c>
      <c r="C341">
        <v>26</v>
      </c>
      <c r="D341" t="s">
        <v>10</v>
      </c>
      <c r="E341" t="b">
        <v>1</v>
      </c>
      <c r="F341" s="1">
        <v>32540</v>
      </c>
      <c r="G341">
        <v>13</v>
      </c>
      <c r="H341">
        <v>102162</v>
      </c>
    </row>
    <row r="342" spans="1:8" x14ac:dyDescent="0.3">
      <c r="A342">
        <v>340</v>
      </c>
      <c r="B342">
        <v>2321</v>
      </c>
      <c r="C342">
        <v>52</v>
      </c>
      <c r="D342" t="s">
        <v>11</v>
      </c>
      <c r="E342" t="b">
        <v>1</v>
      </c>
      <c r="F342" s="1">
        <v>36723</v>
      </c>
      <c r="G342">
        <v>25</v>
      </c>
      <c r="H342">
        <v>200331</v>
      </c>
    </row>
    <row r="343" spans="1:8" x14ac:dyDescent="0.3">
      <c r="A343">
        <v>341</v>
      </c>
      <c r="B343">
        <v>6947</v>
      </c>
      <c r="C343">
        <v>35</v>
      </c>
      <c r="D343" t="s">
        <v>8</v>
      </c>
      <c r="E343" t="b">
        <v>1</v>
      </c>
      <c r="F343" s="1">
        <v>33191</v>
      </c>
      <c r="G343">
        <v>18</v>
      </c>
      <c r="H343">
        <v>143134</v>
      </c>
    </row>
    <row r="344" spans="1:8" x14ac:dyDescent="0.3">
      <c r="A344">
        <v>342</v>
      </c>
      <c r="B344">
        <v>2401</v>
      </c>
      <c r="C344">
        <v>41</v>
      </c>
      <c r="D344" t="s">
        <v>9</v>
      </c>
      <c r="E344" t="b">
        <v>1</v>
      </c>
      <c r="F344" s="1">
        <v>25830</v>
      </c>
      <c r="G344">
        <v>20</v>
      </c>
      <c r="H344">
        <v>152367</v>
      </c>
    </row>
    <row r="345" spans="1:8" x14ac:dyDescent="0.3">
      <c r="A345">
        <v>343</v>
      </c>
      <c r="B345">
        <v>3015</v>
      </c>
      <c r="C345">
        <v>62</v>
      </c>
      <c r="D345" t="s">
        <v>12</v>
      </c>
      <c r="E345" t="b">
        <v>0</v>
      </c>
      <c r="F345" s="1">
        <v>43021</v>
      </c>
      <c r="G345">
        <v>31</v>
      </c>
      <c r="H345">
        <v>241831</v>
      </c>
    </row>
    <row r="346" spans="1:8" x14ac:dyDescent="0.3">
      <c r="A346">
        <v>344</v>
      </c>
      <c r="B346">
        <v>6354</v>
      </c>
      <c r="C346">
        <v>46</v>
      </c>
      <c r="D346" t="s">
        <v>8</v>
      </c>
      <c r="E346" t="b">
        <v>1</v>
      </c>
      <c r="F346" s="1">
        <v>43886</v>
      </c>
      <c r="G346">
        <v>22</v>
      </c>
      <c r="H346">
        <v>174392</v>
      </c>
    </row>
    <row r="347" spans="1:8" x14ac:dyDescent="0.3">
      <c r="A347">
        <v>345</v>
      </c>
      <c r="B347">
        <v>9023</v>
      </c>
      <c r="C347">
        <v>44</v>
      </c>
      <c r="D347" t="s">
        <v>9</v>
      </c>
      <c r="E347" t="b">
        <v>1</v>
      </c>
      <c r="F347" s="1">
        <v>36328</v>
      </c>
      <c r="G347">
        <v>21</v>
      </c>
      <c r="H347">
        <v>166153</v>
      </c>
    </row>
    <row r="348" spans="1:8" x14ac:dyDescent="0.3">
      <c r="A348">
        <v>346</v>
      </c>
      <c r="B348">
        <v>9431</v>
      </c>
      <c r="C348">
        <v>22</v>
      </c>
      <c r="D348" t="s">
        <v>12</v>
      </c>
      <c r="E348" t="b">
        <v>0</v>
      </c>
      <c r="F348" s="1">
        <v>30773</v>
      </c>
      <c r="G348">
        <v>14</v>
      </c>
      <c r="H348">
        <v>116114</v>
      </c>
    </row>
    <row r="349" spans="1:8" x14ac:dyDescent="0.3">
      <c r="A349">
        <v>347</v>
      </c>
      <c r="B349">
        <v>1279</v>
      </c>
      <c r="C349">
        <v>54</v>
      </c>
      <c r="D349" t="s">
        <v>9</v>
      </c>
      <c r="E349" t="b">
        <v>0</v>
      </c>
      <c r="F349" s="1">
        <v>29702</v>
      </c>
      <c r="G349">
        <v>26</v>
      </c>
      <c r="H349">
        <v>215298</v>
      </c>
    </row>
    <row r="350" spans="1:8" x14ac:dyDescent="0.3">
      <c r="A350">
        <v>348</v>
      </c>
      <c r="B350">
        <v>5865</v>
      </c>
      <c r="C350">
        <v>44</v>
      </c>
      <c r="D350" t="s">
        <v>9</v>
      </c>
      <c r="E350" t="b">
        <v>0</v>
      </c>
      <c r="F350" s="1">
        <v>44517</v>
      </c>
      <c r="G350">
        <v>20</v>
      </c>
      <c r="H350">
        <v>161836</v>
      </c>
    </row>
    <row r="351" spans="1:8" x14ac:dyDescent="0.3">
      <c r="A351">
        <v>349</v>
      </c>
      <c r="B351">
        <v>8816</v>
      </c>
      <c r="C351">
        <v>43</v>
      </c>
      <c r="D351" t="s">
        <v>12</v>
      </c>
      <c r="E351" t="b">
        <v>1</v>
      </c>
      <c r="F351" s="1">
        <v>35134</v>
      </c>
      <c r="G351">
        <v>21</v>
      </c>
      <c r="H351">
        <v>156464</v>
      </c>
    </row>
    <row r="352" spans="1:8" x14ac:dyDescent="0.3">
      <c r="A352">
        <v>350</v>
      </c>
      <c r="B352">
        <v>7352</v>
      </c>
      <c r="C352">
        <v>51</v>
      </c>
      <c r="D352" t="s">
        <v>10</v>
      </c>
      <c r="E352" t="b">
        <v>1</v>
      </c>
      <c r="F352" s="1">
        <v>35140</v>
      </c>
      <c r="G352">
        <v>21</v>
      </c>
      <c r="H352">
        <v>161728</v>
      </c>
    </row>
    <row r="353" spans="1:8" x14ac:dyDescent="0.3">
      <c r="A353">
        <v>351</v>
      </c>
      <c r="B353">
        <v>8570</v>
      </c>
      <c r="C353">
        <v>26</v>
      </c>
      <c r="D353" t="s">
        <v>10</v>
      </c>
      <c r="E353" t="b">
        <v>1</v>
      </c>
      <c r="F353" s="1">
        <v>36214</v>
      </c>
      <c r="G353">
        <v>13</v>
      </c>
      <c r="H353">
        <v>108822</v>
      </c>
    </row>
    <row r="354" spans="1:8" x14ac:dyDescent="0.3">
      <c r="A354">
        <v>352</v>
      </c>
      <c r="B354">
        <v>7873</v>
      </c>
      <c r="C354">
        <v>62</v>
      </c>
      <c r="D354" t="s">
        <v>12</v>
      </c>
      <c r="E354" t="b">
        <v>1</v>
      </c>
      <c r="F354" s="1">
        <v>30672</v>
      </c>
      <c r="G354">
        <v>31</v>
      </c>
      <c r="H354">
        <v>242129</v>
      </c>
    </row>
    <row r="355" spans="1:8" x14ac:dyDescent="0.3">
      <c r="A355">
        <v>353</v>
      </c>
      <c r="B355">
        <v>5037</v>
      </c>
      <c r="C355">
        <v>49</v>
      </c>
      <c r="D355" t="s">
        <v>12</v>
      </c>
      <c r="E355" t="b">
        <v>1</v>
      </c>
      <c r="F355" s="1">
        <v>38596</v>
      </c>
      <c r="G355">
        <v>25</v>
      </c>
      <c r="H355">
        <v>208439</v>
      </c>
    </row>
    <row r="356" spans="1:8" x14ac:dyDescent="0.3">
      <c r="A356">
        <v>354</v>
      </c>
      <c r="B356">
        <v>6812</v>
      </c>
      <c r="C356">
        <v>31</v>
      </c>
      <c r="D356" t="s">
        <v>10</v>
      </c>
      <c r="E356" t="b">
        <v>1</v>
      </c>
      <c r="F356" s="1">
        <v>26883</v>
      </c>
      <c r="G356">
        <v>16</v>
      </c>
      <c r="H356">
        <v>132859</v>
      </c>
    </row>
    <row r="357" spans="1:8" x14ac:dyDescent="0.3">
      <c r="A357">
        <v>355</v>
      </c>
      <c r="B357">
        <v>6228</v>
      </c>
      <c r="C357">
        <v>48</v>
      </c>
      <c r="D357" t="s">
        <v>12</v>
      </c>
      <c r="E357" t="b">
        <v>0</v>
      </c>
      <c r="F357" s="1">
        <v>31508</v>
      </c>
      <c r="G357">
        <v>25</v>
      </c>
      <c r="H357">
        <v>197639</v>
      </c>
    </row>
    <row r="358" spans="1:8" x14ac:dyDescent="0.3">
      <c r="A358">
        <v>356</v>
      </c>
      <c r="B358">
        <v>1541</v>
      </c>
      <c r="C358">
        <v>27</v>
      </c>
      <c r="D358" t="s">
        <v>12</v>
      </c>
      <c r="E358" t="b">
        <v>1</v>
      </c>
      <c r="F358" s="1">
        <v>31696</v>
      </c>
      <c r="G358">
        <v>11</v>
      </c>
      <c r="H358">
        <v>78632</v>
      </c>
    </row>
    <row r="359" spans="1:8" x14ac:dyDescent="0.3">
      <c r="A359">
        <v>357</v>
      </c>
      <c r="B359">
        <v>4009</v>
      </c>
      <c r="C359">
        <v>23</v>
      </c>
      <c r="D359" t="s">
        <v>8</v>
      </c>
      <c r="E359" t="b">
        <v>1</v>
      </c>
      <c r="F359" s="1">
        <v>27712</v>
      </c>
      <c r="G359">
        <v>11</v>
      </c>
      <c r="H359">
        <v>80817</v>
      </c>
    </row>
    <row r="360" spans="1:8" x14ac:dyDescent="0.3">
      <c r="A360">
        <v>358</v>
      </c>
      <c r="B360">
        <v>8185</v>
      </c>
      <c r="C360">
        <v>46</v>
      </c>
      <c r="D360" t="s">
        <v>12</v>
      </c>
      <c r="E360" t="b">
        <v>0</v>
      </c>
      <c r="F360" s="1">
        <v>35164</v>
      </c>
      <c r="G360">
        <v>20</v>
      </c>
      <c r="H360">
        <v>169224</v>
      </c>
    </row>
    <row r="361" spans="1:8" x14ac:dyDescent="0.3">
      <c r="A361">
        <v>359</v>
      </c>
      <c r="B361">
        <v>8399</v>
      </c>
      <c r="C361">
        <v>24</v>
      </c>
      <c r="D361" t="s">
        <v>11</v>
      </c>
      <c r="E361" t="b">
        <v>1</v>
      </c>
      <c r="F361" s="1">
        <v>41150</v>
      </c>
      <c r="G361">
        <v>9</v>
      </c>
      <c r="H361">
        <v>69736</v>
      </c>
    </row>
    <row r="362" spans="1:8" x14ac:dyDescent="0.3">
      <c r="A362">
        <v>360</v>
      </c>
      <c r="B362">
        <v>4196</v>
      </c>
      <c r="C362">
        <v>52</v>
      </c>
      <c r="D362" t="s">
        <v>10</v>
      </c>
      <c r="E362" t="b">
        <v>0</v>
      </c>
      <c r="F362" s="1">
        <v>41759</v>
      </c>
      <c r="G362">
        <v>22</v>
      </c>
      <c r="H362">
        <v>172041</v>
      </c>
    </row>
    <row r="363" spans="1:8" x14ac:dyDescent="0.3">
      <c r="A363">
        <v>361</v>
      </c>
      <c r="B363">
        <v>1944</v>
      </c>
      <c r="C363">
        <v>49</v>
      </c>
      <c r="D363" t="s">
        <v>9</v>
      </c>
      <c r="E363" t="b">
        <v>0</v>
      </c>
      <c r="F363" s="1">
        <v>40910</v>
      </c>
      <c r="G363">
        <v>22</v>
      </c>
      <c r="H363">
        <v>175269</v>
      </c>
    </row>
    <row r="364" spans="1:8" x14ac:dyDescent="0.3">
      <c r="A364">
        <v>362</v>
      </c>
      <c r="B364">
        <v>4672</v>
      </c>
      <c r="C364">
        <v>27</v>
      </c>
      <c r="D364" t="s">
        <v>9</v>
      </c>
      <c r="E364" t="b">
        <v>0</v>
      </c>
      <c r="F364" s="1">
        <v>35247</v>
      </c>
      <c r="G364">
        <v>12</v>
      </c>
      <c r="H364">
        <v>96587</v>
      </c>
    </row>
    <row r="365" spans="1:8" x14ac:dyDescent="0.3">
      <c r="A365">
        <v>363</v>
      </c>
      <c r="B365">
        <v>2424</v>
      </c>
      <c r="C365">
        <v>61</v>
      </c>
      <c r="D365" t="s">
        <v>8</v>
      </c>
      <c r="E365" t="b">
        <v>1</v>
      </c>
      <c r="F365" s="1">
        <v>42772</v>
      </c>
      <c r="G365">
        <v>28</v>
      </c>
      <c r="H365">
        <v>228121</v>
      </c>
    </row>
    <row r="366" spans="1:8" x14ac:dyDescent="0.3">
      <c r="A366">
        <v>364</v>
      </c>
      <c r="B366">
        <v>3389</v>
      </c>
      <c r="C366">
        <v>57</v>
      </c>
      <c r="D366" t="s">
        <v>10</v>
      </c>
      <c r="E366" t="b">
        <v>0</v>
      </c>
      <c r="F366" s="1">
        <v>36031</v>
      </c>
      <c r="G366">
        <v>28</v>
      </c>
      <c r="H366">
        <v>219082</v>
      </c>
    </row>
    <row r="367" spans="1:8" x14ac:dyDescent="0.3">
      <c r="A367">
        <v>365</v>
      </c>
      <c r="B367">
        <v>9010</v>
      </c>
      <c r="C367">
        <v>30</v>
      </c>
      <c r="D367" t="s">
        <v>9</v>
      </c>
      <c r="E367" t="b">
        <v>1</v>
      </c>
      <c r="F367" s="1">
        <v>26389</v>
      </c>
      <c r="G367">
        <v>14</v>
      </c>
      <c r="H367">
        <v>112660</v>
      </c>
    </row>
    <row r="368" spans="1:8" x14ac:dyDescent="0.3">
      <c r="A368">
        <v>366</v>
      </c>
      <c r="B368">
        <v>7713</v>
      </c>
      <c r="C368">
        <v>50</v>
      </c>
      <c r="D368" t="s">
        <v>9</v>
      </c>
      <c r="E368" t="b">
        <v>1</v>
      </c>
      <c r="F368" s="1">
        <v>33906</v>
      </c>
      <c r="G368">
        <v>24</v>
      </c>
      <c r="H368">
        <v>192120</v>
      </c>
    </row>
    <row r="369" spans="1:8" x14ac:dyDescent="0.3">
      <c r="A369">
        <v>367</v>
      </c>
      <c r="B369">
        <v>4303</v>
      </c>
      <c r="C369">
        <v>35</v>
      </c>
      <c r="D369" t="s">
        <v>8</v>
      </c>
      <c r="E369" t="b">
        <v>0</v>
      </c>
      <c r="F369" s="1">
        <v>43071</v>
      </c>
      <c r="G369">
        <v>17</v>
      </c>
      <c r="H369">
        <v>138446</v>
      </c>
    </row>
    <row r="370" spans="1:8" x14ac:dyDescent="0.3">
      <c r="A370">
        <v>368</v>
      </c>
      <c r="B370">
        <v>7683</v>
      </c>
      <c r="C370">
        <v>62</v>
      </c>
      <c r="D370" t="s">
        <v>10</v>
      </c>
      <c r="E370" t="b">
        <v>1</v>
      </c>
      <c r="F370" s="1">
        <v>42932</v>
      </c>
      <c r="G370">
        <v>31</v>
      </c>
      <c r="H370">
        <v>248320</v>
      </c>
    </row>
    <row r="371" spans="1:8" x14ac:dyDescent="0.3">
      <c r="A371">
        <v>369</v>
      </c>
      <c r="B371">
        <v>7362</v>
      </c>
      <c r="C371">
        <v>49</v>
      </c>
      <c r="D371" t="s">
        <v>10</v>
      </c>
      <c r="E371" t="b">
        <v>0</v>
      </c>
      <c r="F371" s="1">
        <v>40421</v>
      </c>
      <c r="G371">
        <v>20</v>
      </c>
      <c r="H371">
        <v>156711</v>
      </c>
    </row>
    <row r="372" spans="1:8" x14ac:dyDescent="0.3">
      <c r="A372">
        <v>370</v>
      </c>
      <c r="B372">
        <v>1718</v>
      </c>
      <c r="C372">
        <v>49</v>
      </c>
      <c r="D372" t="s">
        <v>12</v>
      </c>
      <c r="E372" t="b">
        <v>1</v>
      </c>
      <c r="F372" s="1">
        <v>43379</v>
      </c>
      <c r="G372">
        <v>28</v>
      </c>
      <c r="H372">
        <v>226499</v>
      </c>
    </row>
    <row r="373" spans="1:8" x14ac:dyDescent="0.3">
      <c r="A373">
        <v>371</v>
      </c>
      <c r="B373">
        <v>6548</v>
      </c>
      <c r="C373">
        <v>57</v>
      </c>
      <c r="D373" t="s">
        <v>12</v>
      </c>
      <c r="E373" t="b">
        <v>0</v>
      </c>
      <c r="F373" s="1">
        <v>38718</v>
      </c>
      <c r="G373">
        <v>27</v>
      </c>
      <c r="H373">
        <v>207647</v>
      </c>
    </row>
    <row r="374" spans="1:8" x14ac:dyDescent="0.3">
      <c r="A374">
        <v>372</v>
      </c>
      <c r="B374">
        <v>6273</v>
      </c>
      <c r="C374">
        <v>37</v>
      </c>
      <c r="D374" t="s">
        <v>11</v>
      </c>
      <c r="E374" t="b">
        <v>0</v>
      </c>
      <c r="F374" s="1">
        <v>34394</v>
      </c>
      <c r="G374">
        <v>19</v>
      </c>
      <c r="H374">
        <v>150282</v>
      </c>
    </row>
    <row r="375" spans="1:8" x14ac:dyDescent="0.3">
      <c r="A375">
        <v>373</v>
      </c>
      <c r="B375">
        <v>5076</v>
      </c>
      <c r="C375">
        <v>63</v>
      </c>
      <c r="D375" t="s">
        <v>10</v>
      </c>
      <c r="E375" t="b">
        <v>1</v>
      </c>
      <c r="F375" s="1">
        <v>32411</v>
      </c>
      <c r="G375">
        <v>36</v>
      </c>
      <c r="H375">
        <v>293410</v>
      </c>
    </row>
    <row r="376" spans="1:8" x14ac:dyDescent="0.3">
      <c r="A376">
        <v>374</v>
      </c>
      <c r="B376">
        <v>6914</v>
      </c>
      <c r="C376">
        <v>23</v>
      </c>
      <c r="D376" t="s">
        <v>9</v>
      </c>
      <c r="E376" t="b">
        <v>0</v>
      </c>
      <c r="F376" s="1">
        <v>40244</v>
      </c>
      <c r="G376">
        <v>9</v>
      </c>
      <c r="H376">
        <v>66124</v>
      </c>
    </row>
    <row r="377" spans="1:8" x14ac:dyDescent="0.3">
      <c r="A377">
        <v>375</v>
      </c>
      <c r="B377">
        <v>1068</v>
      </c>
      <c r="C377">
        <v>47</v>
      </c>
      <c r="D377" t="s">
        <v>12</v>
      </c>
      <c r="E377" t="b">
        <v>0</v>
      </c>
      <c r="F377" s="1">
        <v>32780</v>
      </c>
      <c r="G377">
        <v>20</v>
      </c>
      <c r="H377">
        <v>162792</v>
      </c>
    </row>
    <row r="378" spans="1:8" x14ac:dyDescent="0.3">
      <c r="A378">
        <v>376</v>
      </c>
      <c r="B378">
        <v>1539</v>
      </c>
      <c r="C378">
        <v>42</v>
      </c>
      <c r="D378" t="s">
        <v>8</v>
      </c>
      <c r="E378" t="b">
        <v>1</v>
      </c>
      <c r="F378" s="1">
        <v>35990</v>
      </c>
      <c r="G378">
        <v>22</v>
      </c>
      <c r="H378">
        <v>169701</v>
      </c>
    </row>
    <row r="379" spans="1:8" x14ac:dyDescent="0.3">
      <c r="A379">
        <v>377</v>
      </c>
      <c r="B379">
        <v>2565</v>
      </c>
      <c r="C379">
        <v>26</v>
      </c>
      <c r="D379" t="s">
        <v>8</v>
      </c>
      <c r="E379" t="b">
        <v>0</v>
      </c>
      <c r="F379" s="1">
        <v>34864</v>
      </c>
      <c r="G379">
        <v>12</v>
      </c>
      <c r="H379">
        <v>89021</v>
      </c>
    </row>
    <row r="380" spans="1:8" x14ac:dyDescent="0.3">
      <c r="A380">
        <v>378</v>
      </c>
      <c r="B380">
        <v>7334</v>
      </c>
      <c r="C380">
        <v>63</v>
      </c>
      <c r="D380" t="s">
        <v>12</v>
      </c>
      <c r="E380" t="b">
        <v>1</v>
      </c>
      <c r="F380" s="1">
        <v>27914</v>
      </c>
      <c r="G380">
        <v>31</v>
      </c>
      <c r="H380">
        <v>253048</v>
      </c>
    </row>
    <row r="381" spans="1:8" x14ac:dyDescent="0.3">
      <c r="A381">
        <v>379</v>
      </c>
      <c r="B381">
        <v>2974</v>
      </c>
      <c r="C381">
        <v>22</v>
      </c>
      <c r="D381" t="s">
        <v>9</v>
      </c>
      <c r="E381" t="b">
        <v>0</v>
      </c>
      <c r="F381" s="1">
        <v>44011</v>
      </c>
      <c r="G381">
        <v>7</v>
      </c>
      <c r="H381">
        <v>43177</v>
      </c>
    </row>
    <row r="382" spans="1:8" x14ac:dyDescent="0.3">
      <c r="A382">
        <v>380</v>
      </c>
      <c r="B382">
        <v>2346</v>
      </c>
      <c r="C382">
        <v>36</v>
      </c>
      <c r="D382" t="s">
        <v>12</v>
      </c>
      <c r="E382" t="b">
        <v>0</v>
      </c>
      <c r="F382" s="1">
        <v>45666</v>
      </c>
      <c r="G382">
        <v>13</v>
      </c>
      <c r="H382">
        <v>103682</v>
      </c>
    </row>
    <row r="383" spans="1:8" x14ac:dyDescent="0.3">
      <c r="A383">
        <v>381</v>
      </c>
      <c r="B383">
        <v>2800</v>
      </c>
      <c r="C383">
        <v>30</v>
      </c>
      <c r="D383" t="s">
        <v>12</v>
      </c>
      <c r="E383" t="b">
        <v>0</v>
      </c>
      <c r="F383" s="1">
        <v>37749</v>
      </c>
      <c r="G383">
        <v>16</v>
      </c>
      <c r="H383">
        <v>129947</v>
      </c>
    </row>
    <row r="384" spans="1:8" x14ac:dyDescent="0.3">
      <c r="A384">
        <v>382</v>
      </c>
      <c r="B384">
        <v>4437</v>
      </c>
      <c r="C384">
        <v>62</v>
      </c>
      <c r="D384" t="s">
        <v>8</v>
      </c>
      <c r="E384" t="b">
        <v>1</v>
      </c>
      <c r="F384" s="1">
        <v>36931</v>
      </c>
      <c r="G384">
        <v>29</v>
      </c>
      <c r="H384">
        <v>227252</v>
      </c>
    </row>
    <row r="385" spans="1:8" x14ac:dyDescent="0.3">
      <c r="A385">
        <v>383</v>
      </c>
      <c r="B385">
        <v>6007</v>
      </c>
      <c r="C385">
        <v>32</v>
      </c>
      <c r="D385" t="s">
        <v>9</v>
      </c>
      <c r="E385" t="b">
        <v>0</v>
      </c>
      <c r="F385" s="1">
        <v>33037</v>
      </c>
      <c r="G385">
        <v>15</v>
      </c>
      <c r="H385">
        <v>127305</v>
      </c>
    </row>
    <row r="386" spans="1:8" x14ac:dyDescent="0.3">
      <c r="A386">
        <v>384</v>
      </c>
      <c r="B386">
        <v>2510</v>
      </c>
      <c r="C386">
        <v>51</v>
      </c>
      <c r="D386" t="s">
        <v>11</v>
      </c>
      <c r="E386" t="b">
        <v>1</v>
      </c>
      <c r="F386" s="1">
        <v>41261</v>
      </c>
      <c r="G386">
        <v>24</v>
      </c>
      <c r="H386">
        <v>184578</v>
      </c>
    </row>
    <row r="387" spans="1:8" x14ac:dyDescent="0.3">
      <c r="A387">
        <v>385</v>
      </c>
      <c r="B387">
        <v>7197</v>
      </c>
      <c r="C387">
        <v>45</v>
      </c>
      <c r="D387" t="s">
        <v>12</v>
      </c>
      <c r="E387" t="b">
        <v>0</v>
      </c>
      <c r="F387" s="1">
        <v>28672</v>
      </c>
      <c r="G387">
        <v>23</v>
      </c>
      <c r="H387">
        <v>189031</v>
      </c>
    </row>
    <row r="388" spans="1:8" x14ac:dyDescent="0.3">
      <c r="A388">
        <v>386</v>
      </c>
      <c r="B388">
        <v>5262</v>
      </c>
      <c r="C388">
        <v>61</v>
      </c>
      <c r="D388" t="s">
        <v>10</v>
      </c>
      <c r="E388" t="b">
        <v>0</v>
      </c>
      <c r="F388" s="1">
        <v>43973</v>
      </c>
      <c r="G388">
        <v>30</v>
      </c>
      <c r="H388">
        <v>242312</v>
      </c>
    </row>
    <row r="389" spans="1:8" x14ac:dyDescent="0.3">
      <c r="A389">
        <v>387</v>
      </c>
      <c r="B389">
        <v>4315</v>
      </c>
      <c r="C389">
        <v>47</v>
      </c>
      <c r="D389" t="s">
        <v>9</v>
      </c>
      <c r="E389" t="b">
        <v>0</v>
      </c>
      <c r="F389" s="1">
        <v>36673</v>
      </c>
      <c r="G389">
        <v>24</v>
      </c>
      <c r="H389">
        <v>199412</v>
      </c>
    </row>
    <row r="390" spans="1:8" x14ac:dyDescent="0.3">
      <c r="A390">
        <v>388</v>
      </c>
      <c r="B390">
        <v>8268</v>
      </c>
      <c r="C390">
        <v>42</v>
      </c>
      <c r="D390" t="s">
        <v>10</v>
      </c>
      <c r="E390" t="b">
        <v>0</v>
      </c>
      <c r="F390" s="1">
        <v>33564</v>
      </c>
      <c r="G390">
        <v>22</v>
      </c>
      <c r="H390">
        <v>181466</v>
      </c>
    </row>
    <row r="391" spans="1:8" x14ac:dyDescent="0.3">
      <c r="A391">
        <v>389</v>
      </c>
      <c r="B391">
        <v>6197</v>
      </c>
      <c r="C391">
        <v>61</v>
      </c>
      <c r="D391" t="s">
        <v>11</v>
      </c>
      <c r="E391" t="b">
        <v>0</v>
      </c>
      <c r="F391" s="1">
        <v>29301</v>
      </c>
      <c r="G391">
        <v>32</v>
      </c>
      <c r="H391">
        <v>249787</v>
      </c>
    </row>
    <row r="392" spans="1:8" x14ac:dyDescent="0.3">
      <c r="A392">
        <v>390</v>
      </c>
      <c r="B392">
        <v>6190</v>
      </c>
      <c r="C392">
        <v>23</v>
      </c>
      <c r="D392" t="s">
        <v>12</v>
      </c>
      <c r="E392" t="b">
        <v>1</v>
      </c>
      <c r="F392" s="1">
        <v>42506</v>
      </c>
      <c r="G392">
        <v>10</v>
      </c>
      <c r="H392">
        <v>75579</v>
      </c>
    </row>
    <row r="393" spans="1:8" x14ac:dyDescent="0.3">
      <c r="A393">
        <v>391</v>
      </c>
      <c r="B393">
        <v>8585</v>
      </c>
      <c r="C393">
        <v>33</v>
      </c>
      <c r="D393" t="s">
        <v>9</v>
      </c>
      <c r="E393" t="b">
        <v>0</v>
      </c>
      <c r="F393" s="1">
        <v>42298</v>
      </c>
      <c r="G393">
        <v>14</v>
      </c>
      <c r="H393">
        <v>110956</v>
      </c>
    </row>
    <row r="394" spans="1:8" x14ac:dyDescent="0.3">
      <c r="A394">
        <v>392</v>
      </c>
      <c r="B394">
        <v>4689</v>
      </c>
      <c r="C394">
        <v>52</v>
      </c>
      <c r="D394" t="s">
        <v>10</v>
      </c>
      <c r="E394" t="b">
        <v>0</v>
      </c>
      <c r="F394" s="1">
        <v>41755</v>
      </c>
      <c r="G394">
        <v>25</v>
      </c>
      <c r="H394">
        <v>205417</v>
      </c>
    </row>
    <row r="395" spans="1:8" x14ac:dyDescent="0.3">
      <c r="A395">
        <v>393</v>
      </c>
      <c r="B395">
        <v>9048</v>
      </c>
      <c r="C395">
        <v>44</v>
      </c>
      <c r="D395" t="s">
        <v>8</v>
      </c>
      <c r="E395" t="b">
        <v>0</v>
      </c>
      <c r="F395" s="1">
        <v>28352</v>
      </c>
      <c r="G395">
        <v>25</v>
      </c>
      <c r="H395">
        <v>196804</v>
      </c>
    </row>
    <row r="396" spans="1:8" x14ac:dyDescent="0.3">
      <c r="A396">
        <v>394</v>
      </c>
      <c r="B396">
        <v>7445</v>
      </c>
      <c r="C396">
        <v>46</v>
      </c>
      <c r="D396" t="s">
        <v>12</v>
      </c>
      <c r="E396" t="b">
        <v>0</v>
      </c>
      <c r="F396" s="1">
        <v>30445</v>
      </c>
      <c r="G396">
        <v>21</v>
      </c>
      <c r="H396">
        <v>171101</v>
      </c>
    </row>
    <row r="397" spans="1:8" x14ac:dyDescent="0.3">
      <c r="A397">
        <v>395</v>
      </c>
      <c r="B397">
        <v>2129</v>
      </c>
      <c r="C397">
        <v>27</v>
      </c>
      <c r="D397" t="s">
        <v>12</v>
      </c>
      <c r="E397" t="b">
        <v>0</v>
      </c>
      <c r="F397" s="1">
        <v>32230</v>
      </c>
      <c r="G397">
        <v>12</v>
      </c>
      <c r="H397">
        <v>103203</v>
      </c>
    </row>
    <row r="398" spans="1:8" x14ac:dyDescent="0.3">
      <c r="A398">
        <v>396</v>
      </c>
      <c r="B398">
        <v>2973</v>
      </c>
      <c r="C398">
        <v>26</v>
      </c>
      <c r="D398" t="s">
        <v>8</v>
      </c>
      <c r="E398" t="b">
        <v>1</v>
      </c>
      <c r="F398" s="1">
        <v>26992</v>
      </c>
      <c r="G398">
        <v>15</v>
      </c>
      <c r="H398">
        <v>120056</v>
      </c>
    </row>
    <row r="399" spans="1:8" x14ac:dyDescent="0.3">
      <c r="A399">
        <v>397</v>
      </c>
      <c r="B399">
        <v>5722</v>
      </c>
      <c r="C399">
        <v>30</v>
      </c>
      <c r="D399" t="s">
        <v>9</v>
      </c>
      <c r="E399" t="b">
        <v>1</v>
      </c>
      <c r="F399" s="1">
        <v>43206</v>
      </c>
      <c r="G399">
        <v>16</v>
      </c>
      <c r="H399">
        <v>136030</v>
      </c>
    </row>
    <row r="400" spans="1:8" x14ac:dyDescent="0.3">
      <c r="A400">
        <v>398</v>
      </c>
      <c r="B400">
        <v>4334</v>
      </c>
      <c r="C400">
        <v>58</v>
      </c>
      <c r="D400" t="s">
        <v>12</v>
      </c>
      <c r="E400" t="b">
        <v>0</v>
      </c>
      <c r="F400" s="1">
        <v>42970</v>
      </c>
      <c r="G400">
        <v>28</v>
      </c>
      <c r="H400">
        <v>225695</v>
      </c>
    </row>
    <row r="401" spans="1:8" x14ac:dyDescent="0.3">
      <c r="A401">
        <v>399</v>
      </c>
      <c r="B401">
        <v>3900</v>
      </c>
      <c r="C401">
        <v>44</v>
      </c>
      <c r="D401" t="s">
        <v>12</v>
      </c>
      <c r="E401" t="b">
        <v>1</v>
      </c>
      <c r="F401" s="1">
        <v>31801</v>
      </c>
      <c r="G401">
        <v>18</v>
      </c>
      <c r="H401">
        <v>140411</v>
      </c>
    </row>
    <row r="402" spans="1:8" x14ac:dyDescent="0.3">
      <c r="A402">
        <v>400</v>
      </c>
      <c r="B402">
        <v>9317</v>
      </c>
      <c r="C402">
        <v>45</v>
      </c>
      <c r="D402" t="s">
        <v>8</v>
      </c>
      <c r="E402" t="b">
        <v>1</v>
      </c>
      <c r="F402" s="1">
        <v>43081</v>
      </c>
      <c r="G402">
        <v>21</v>
      </c>
      <c r="H402">
        <v>169472</v>
      </c>
    </row>
    <row r="403" spans="1:8" x14ac:dyDescent="0.3">
      <c r="A403">
        <v>401</v>
      </c>
      <c r="B403">
        <v>7802</v>
      </c>
      <c r="C403">
        <v>23</v>
      </c>
      <c r="D403" t="s">
        <v>8</v>
      </c>
      <c r="E403" t="b">
        <v>0</v>
      </c>
      <c r="F403" s="1">
        <v>37831</v>
      </c>
      <c r="G403">
        <v>12</v>
      </c>
      <c r="H403">
        <v>94602</v>
      </c>
    </row>
    <row r="404" spans="1:8" x14ac:dyDescent="0.3">
      <c r="A404">
        <v>402</v>
      </c>
      <c r="B404">
        <v>3189</v>
      </c>
      <c r="C404">
        <v>43</v>
      </c>
      <c r="D404" t="s">
        <v>8</v>
      </c>
      <c r="E404" t="b">
        <v>1</v>
      </c>
      <c r="F404" s="1">
        <v>31012</v>
      </c>
      <c r="G404">
        <v>22</v>
      </c>
      <c r="H404">
        <v>176423</v>
      </c>
    </row>
    <row r="405" spans="1:8" x14ac:dyDescent="0.3">
      <c r="A405">
        <v>403</v>
      </c>
      <c r="B405">
        <v>2803</v>
      </c>
      <c r="C405">
        <v>41</v>
      </c>
      <c r="D405" t="s">
        <v>8</v>
      </c>
      <c r="E405" t="b">
        <v>1</v>
      </c>
      <c r="F405" s="1">
        <v>28112</v>
      </c>
      <c r="G405">
        <v>20</v>
      </c>
      <c r="H405">
        <v>173046</v>
      </c>
    </row>
    <row r="406" spans="1:8" x14ac:dyDescent="0.3">
      <c r="A406">
        <v>404</v>
      </c>
      <c r="B406">
        <v>9086</v>
      </c>
      <c r="C406">
        <v>26</v>
      </c>
      <c r="D406" t="s">
        <v>10</v>
      </c>
      <c r="E406" t="b">
        <v>0</v>
      </c>
      <c r="F406" s="1">
        <v>27954</v>
      </c>
      <c r="G406">
        <v>12</v>
      </c>
      <c r="H406">
        <v>82230</v>
      </c>
    </row>
    <row r="407" spans="1:8" x14ac:dyDescent="0.3">
      <c r="A407">
        <v>405</v>
      </c>
      <c r="B407">
        <v>9975</v>
      </c>
      <c r="C407">
        <v>22</v>
      </c>
      <c r="D407" t="s">
        <v>12</v>
      </c>
      <c r="E407" t="b">
        <v>1</v>
      </c>
      <c r="F407" s="1">
        <v>38123</v>
      </c>
      <c r="G407">
        <v>9</v>
      </c>
      <c r="H407">
        <v>65079</v>
      </c>
    </row>
    <row r="408" spans="1:8" x14ac:dyDescent="0.3">
      <c r="A408">
        <v>406</v>
      </c>
      <c r="B408">
        <v>8328</v>
      </c>
      <c r="C408">
        <v>51</v>
      </c>
      <c r="D408" t="s">
        <v>9</v>
      </c>
      <c r="E408" t="b">
        <v>1</v>
      </c>
      <c r="F408" s="1">
        <v>31712</v>
      </c>
      <c r="G408">
        <v>24</v>
      </c>
      <c r="H408">
        <v>194961</v>
      </c>
    </row>
    <row r="409" spans="1:8" x14ac:dyDescent="0.3">
      <c r="A409">
        <v>407</v>
      </c>
      <c r="B409">
        <v>1695</v>
      </c>
      <c r="C409">
        <v>55</v>
      </c>
      <c r="D409" t="s">
        <v>12</v>
      </c>
      <c r="E409" t="b">
        <v>0</v>
      </c>
      <c r="F409" s="1">
        <v>37630</v>
      </c>
      <c r="G409">
        <v>24</v>
      </c>
      <c r="H409">
        <v>192619</v>
      </c>
    </row>
    <row r="410" spans="1:8" x14ac:dyDescent="0.3">
      <c r="A410">
        <v>408</v>
      </c>
      <c r="B410">
        <v>6633</v>
      </c>
      <c r="C410">
        <v>27</v>
      </c>
      <c r="D410" t="s">
        <v>11</v>
      </c>
      <c r="E410" t="b">
        <v>0</v>
      </c>
      <c r="F410" s="1">
        <v>37342</v>
      </c>
      <c r="G410">
        <v>16</v>
      </c>
      <c r="H410">
        <v>123888</v>
      </c>
    </row>
    <row r="411" spans="1:8" x14ac:dyDescent="0.3">
      <c r="A411">
        <v>409</v>
      </c>
      <c r="B411">
        <v>5922</v>
      </c>
      <c r="C411">
        <v>57</v>
      </c>
      <c r="D411" t="s">
        <v>9</v>
      </c>
      <c r="E411" t="b">
        <v>1</v>
      </c>
      <c r="F411" s="1">
        <v>43953</v>
      </c>
      <c r="G411">
        <v>29</v>
      </c>
      <c r="H411">
        <v>225741</v>
      </c>
    </row>
    <row r="412" spans="1:8" x14ac:dyDescent="0.3">
      <c r="A412">
        <v>410</v>
      </c>
      <c r="B412">
        <v>4364</v>
      </c>
      <c r="C412">
        <v>54</v>
      </c>
      <c r="D412" t="s">
        <v>8</v>
      </c>
      <c r="E412" t="b">
        <v>0</v>
      </c>
      <c r="F412" s="1">
        <v>39838</v>
      </c>
      <c r="G412">
        <v>28</v>
      </c>
      <c r="H412">
        <v>221040</v>
      </c>
    </row>
    <row r="413" spans="1:8" x14ac:dyDescent="0.3">
      <c r="A413">
        <v>411</v>
      </c>
      <c r="B413">
        <v>9938</v>
      </c>
      <c r="C413">
        <v>34</v>
      </c>
      <c r="D413" t="s">
        <v>11</v>
      </c>
      <c r="E413" t="b">
        <v>0</v>
      </c>
      <c r="F413" s="1">
        <v>43211</v>
      </c>
      <c r="G413">
        <v>16</v>
      </c>
      <c r="H413">
        <v>133650</v>
      </c>
    </row>
    <row r="414" spans="1:8" x14ac:dyDescent="0.3">
      <c r="A414">
        <v>412</v>
      </c>
      <c r="B414">
        <v>4303</v>
      </c>
      <c r="C414">
        <v>31</v>
      </c>
      <c r="D414" t="s">
        <v>10</v>
      </c>
      <c r="E414" t="b">
        <v>0</v>
      </c>
      <c r="F414" s="1">
        <v>29544</v>
      </c>
      <c r="G414">
        <v>11</v>
      </c>
      <c r="H414">
        <v>93339</v>
      </c>
    </row>
    <row r="415" spans="1:8" x14ac:dyDescent="0.3">
      <c r="A415">
        <v>413</v>
      </c>
      <c r="B415">
        <v>4845</v>
      </c>
      <c r="C415">
        <v>42</v>
      </c>
      <c r="D415" t="s">
        <v>8</v>
      </c>
      <c r="E415" t="b">
        <v>0</v>
      </c>
      <c r="F415" s="1">
        <v>34104</v>
      </c>
      <c r="G415">
        <v>20</v>
      </c>
      <c r="H415">
        <v>163242</v>
      </c>
    </row>
    <row r="416" spans="1:8" x14ac:dyDescent="0.3">
      <c r="A416">
        <v>414</v>
      </c>
      <c r="B416">
        <v>8086</v>
      </c>
      <c r="C416">
        <v>36</v>
      </c>
      <c r="D416" t="s">
        <v>12</v>
      </c>
      <c r="E416" t="b">
        <v>0</v>
      </c>
      <c r="F416" s="1">
        <v>27530</v>
      </c>
      <c r="G416">
        <v>16</v>
      </c>
      <c r="H416">
        <v>126451</v>
      </c>
    </row>
    <row r="417" spans="1:8" x14ac:dyDescent="0.3">
      <c r="A417">
        <v>415</v>
      </c>
      <c r="B417">
        <v>4245</v>
      </c>
      <c r="C417">
        <v>23</v>
      </c>
      <c r="D417" t="s">
        <v>11</v>
      </c>
      <c r="E417" t="b">
        <v>0</v>
      </c>
      <c r="F417" s="1">
        <v>40832</v>
      </c>
      <c r="G417">
        <v>11</v>
      </c>
      <c r="H417">
        <v>91619</v>
      </c>
    </row>
    <row r="418" spans="1:8" x14ac:dyDescent="0.3">
      <c r="A418">
        <v>416</v>
      </c>
      <c r="B418">
        <v>6736</v>
      </c>
      <c r="C418">
        <v>43</v>
      </c>
      <c r="D418" t="s">
        <v>10</v>
      </c>
      <c r="E418" t="b">
        <v>1</v>
      </c>
      <c r="F418" s="1">
        <v>29109</v>
      </c>
      <c r="G418">
        <v>20</v>
      </c>
      <c r="H418">
        <v>171600</v>
      </c>
    </row>
    <row r="419" spans="1:8" x14ac:dyDescent="0.3">
      <c r="A419">
        <v>417</v>
      </c>
      <c r="B419">
        <v>9276</v>
      </c>
      <c r="C419">
        <v>23</v>
      </c>
      <c r="D419" t="s">
        <v>12</v>
      </c>
      <c r="E419" t="b">
        <v>0</v>
      </c>
      <c r="F419" s="1">
        <v>30383</v>
      </c>
      <c r="G419">
        <v>10</v>
      </c>
      <c r="H419">
        <v>75749</v>
      </c>
    </row>
    <row r="420" spans="1:8" x14ac:dyDescent="0.3">
      <c r="A420">
        <v>418</v>
      </c>
      <c r="B420">
        <v>4411</v>
      </c>
      <c r="C420">
        <v>36</v>
      </c>
      <c r="D420" t="s">
        <v>10</v>
      </c>
      <c r="E420" t="b">
        <v>1</v>
      </c>
      <c r="F420" s="1">
        <v>44176</v>
      </c>
      <c r="G420">
        <v>19</v>
      </c>
      <c r="H420">
        <v>146689</v>
      </c>
    </row>
    <row r="421" spans="1:8" x14ac:dyDescent="0.3">
      <c r="A421">
        <v>419</v>
      </c>
      <c r="B421">
        <v>3693</v>
      </c>
      <c r="C421">
        <v>36</v>
      </c>
      <c r="D421" t="s">
        <v>12</v>
      </c>
      <c r="E421" t="b">
        <v>1</v>
      </c>
      <c r="F421" s="1">
        <v>37730</v>
      </c>
      <c r="G421">
        <v>17</v>
      </c>
      <c r="H421">
        <v>141159</v>
      </c>
    </row>
    <row r="422" spans="1:8" x14ac:dyDescent="0.3">
      <c r="A422">
        <v>420</v>
      </c>
      <c r="B422">
        <v>1513</v>
      </c>
      <c r="C422">
        <v>41</v>
      </c>
      <c r="D422" t="s">
        <v>8</v>
      </c>
      <c r="E422" t="b">
        <v>0</v>
      </c>
      <c r="F422" s="1">
        <v>36515</v>
      </c>
      <c r="G422">
        <v>18</v>
      </c>
      <c r="H422">
        <v>143584</v>
      </c>
    </row>
    <row r="423" spans="1:8" x14ac:dyDescent="0.3">
      <c r="A423">
        <v>421</v>
      </c>
      <c r="B423">
        <v>6094</v>
      </c>
      <c r="C423">
        <v>30</v>
      </c>
      <c r="D423" t="s">
        <v>10</v>
      </c>
      <c r="E423" t="b">
        <v>1</v>
      </c>
      <c r="F423" s="1">
        <v>40968</v>
      </c>
      <c r="G423">
        <v>12</v>
      </c>
      <c r="H423">
        <v>92136</v>
      </c>
    </row>
    <row r="424" spans="1:8" x14ac:dyDescent="0.3">
      <c r="A424">
        <v>422</v>
      </c>
      <c r="B424">
        <v>9908</v>
      </c>
      <c r="C424">
        <v>53</v>
      </c>
      <c r="D424" t="s">
        <v>12</v>
      </c>
      <c r="E424" t="b">
        <v>0</v>
      </c>
      <c r="F424" s="1">
        <v>44748</v>
      </c>
      <c r="G424">
        <v>26</v>
      </c>
      <c r="H424">
        <v>204041</v>
      </c>
    </row>
    <row r="425" spans="1:8" x14ac:dyDescent="0.3">
      <c r="A425">
        <v>423</v>
      </c>
      <c r="B425">
        <v>5991</v>
      </c>
      <c r="C425">
        <v>60</v>
      </c>
      <c r="D425" t="s">
        <v>11</v>
      </c>
      <c r="E425" t="b">
        <v>0</v>
      </c>
      <c r="F425" s="1">
        <v>34393</v>
      </c>
      <c r="G425">
        <v>29</v>
      </c>
      <c r="H425">
        <v>227146</v>
      </c>
    </row>
    <row r="426" spans="1:8" x14ac:dyDescent="0.3">
      <c r="A426">
        <v>424</v>
      </c>
      <c r="B426">
        <v>8398</v>
      </c>
      <c r="C426">
        <v>36</v>
      </c>
      <c r="D426" t="s">
        <v>8</v>
      </c>
      <c r="E426" t="b">
        <v>1</v>
      </c>
      <c r="F426" s="1">
        <v>30562</v>
      </c>
      <c r="G426">
        <v>14</v>
      </c>
      <c r="H426">
        <v>107232</v>
      </c>
    </row>
    <row r="427" spans="1:8" x14ac:dyDescent="0.3">
      <c r="A427">
        <v>425</v>
      </c>
      <c r="B427">
        <v>2660</v>
      </c>
      <c r="C427">
        <v>57</v>
      </c>
      <c r="D427" t="s">
        <v>9</v>
      </c>
      <c r="E427" t="b">
        <v>0</v>
      </c>
      <c r="F427" s="1">
        <v>42332</v>
      </c>
      <c r="G427">
        <v>28</v>
      </c>
      <c r="H427">
        <v>222824</v>
      </c>
    </row>
    <row r="428" spans="1:8" x14ac:dyDescent="0.3">
      <c r="A428">
        <v>426</v>
      </c>
      <c r="B428">
        <v>7255</v>
      </c>
      <c r="C428">
        <v>37</v>
      </c>
      <c r="D428" t="s">
        <v>8</v>
      </c>
      <c r="E428" t="b">
        <v>0</v>
      </c>
      <c r="F428" s="1">
        <v>40231</v>
      </c>
      <c r="G428">
        <v>21</v>
      </c>
      <c r="H428">
        <v>162790</v>
      </c>
    </row>
    <row r="429" spans="1:8" x14ac:dyDescent="0.3">
      <c r="A429">
        <v>427</v>
      </c>
      <c r="B429">
        <v>2687</v>
      </c>
      <c r="C429">
        <v>50</v>
      </c>
      <c r="D429" t="s">
        <v>12</v>
      </c>
      <c r="E429" t="b">
        <v>1</v>
      </c>
      <c r="F429" s="1">
        <v>38827</v>
      </c>
      <c r="G429">
        <v>18</v>
      </c>
      <c r="H429">
        <v>150069</v>
      </c>
    </row>
    <row r="430" spans="1:8" x14ac:dyDescent="0.3">
      <c r="A430">
        <v>428</v>
      </c>
      <c r="B430">
        <v>8717</v>
      </c>
      <c r="C430">
        <v>44</v>
      </c>
      <c r="D430" t="s">
        <v>8</v>
      </c>
      <c r="E430" t="b">
        <v>0</v>
      </c>
      <c r="F430" s="1">
        <v>36023</v>
      </c>
      <c r="G430">
        <v>22</v>
      </c>
      <c r="H430">
        <v>172707</v>
      </c>
    </row>
    <row r="431" spans="1:8" x14ac:dyDescent="0.3">
      <c r="A431">
        <v>429</v>
      </c>
      <c r="B431">
        <v>1471</v>
      </c>
      <c r="C431">
        <v>49</v>
      </c>
      <c r="D431" t="s">
        <v>12</v>
      </c>
      <c r="E431" t="b">
        <v>0</v>
      </c>
      <c r="F431" s="1">
        <v>44570</v>
      </c>
      <c r="G431">
        <v>25</v>
      </c>
      <c r="H431">
        <v>200491</v>
      </c>
    </row>
    <row r="432" spans="1:8" x14ac:dyDescent="0.3">
      <c r="A432">
        <v>430</v>
      </c>
      <c r="B432">
        <v>3188</v>
      </c>
      <c r="C432">
        <v>64</v>
      </c>
      <c r="D432" t="s">
        <v>8</v>
      </c>
      <c r="E432" t="b">
        <v>0</v>
      </c>
      <c r="F432" s="1">
        <v>31911</v>
      </c>
      <c r="G432">
        <v>31</v>
      </c>
      <c r="H432">
        <v>247653</v>
      </c>
    </row>
    <row r="433" spans="1:8" x14ac:dyDescent="0.3">
      <c r="A433">
        <v>431</v>
      </c>
      <c r="B433">
        <v>7435</v>
      </c>
      <c r="C433">
        <v>49</v>
      </c>
      <c r="D433" t="s">
        <v>8</v>
      </c>
      <c r="E433" t="b">
        <v>0</v>
      </c>
      <c r="F433" s="1">
        <v>44346</v>
      </c>
      <c r="G433">
        <v>24</v>
      </c>
      <c r="H433">
        <v>191755</v>
      </c>
    </row>
    <row r="434" spans="1:8" x14ac:dyDescent="0.3">
      <c r="A434">
        <v>432</v>
      </c>
      <c r="B434">
        <v>2002</v>
      </c>
      <c r="C434">
        <v>27</v>
      </c>
      <c r="D434" t="s">
        <v>9</v>
      </c>
      <c r="E434" t="b">
        <v>1</v>
      </c>
      <c r="F434" s="1">
        <v>28895</v>
      </c>
      <c r="G434">
        <v>15</v>
      </c>
      <c r="H434">
        <v>125131</v>
      </c>
    </row>
    <row r="435" spans="1:8" x14ac:dyDescent="0.3">
      <c r="A435">
        <v>433</v>
      </c>
      <c r="B435">
        <v>5880</v>
      </c>
      <c r="C435">
        <v>42</v>
      </c>
      <c r="D435" t="s">
        <v>9</v>
      </c>
      <c r="E435" t="b">
        <v>0</v>
      </c>
      <c r="F435" s="1">
        <v>28684</v>
      </c>
      <c r="G435">
        <v>21</v>
      </c>
      <c r="H435">
        <v>164265</v>
      </c>
    </row>
    <row r="436" spans="1:8" x14ac:dyDescent="0.3">
      <c r="A436">
        <v>434</v>
      </c>
      <c r="B436">
        <v>4796</v>
      </c>
      <c r="C436">
        <v>28</v>
      </c>
      <c r="D436" t="s">
        <v>9</v>
      </c>
      <c r="E436" t="b">
        <v>0</v>
      </c>
      <c r="F436" s="1">
        <v>43273</v>
      </c>
      <c r="G436">
        <v>15</v>
      </c>
      <c r="H436">
        <v>109701</v>
      </c>
    </row>
    <row r="437" spans="1:8" x14ac:dyDescent="0.3">
      <c r="A437">
        <v>435</v>
      </c>
      <c r="B437">
        <v>7768</v>
      </c>
      <c r="C437">
        <v>53</v>
      </c>
      <c r="D437" t="s">
        <v>9</v>
      </c>
      <c r="E437" t="b">
        <v>0</v>
      </c>
      <c r="F437" s="1">
        <v>36352</v>
      </c>
      <c r="G437">
        <v>29</v>
      </c>
      <c r="H437">
        <v>238477</v>
      </c>
    </row>
    <row r="438" spans="1:8" x14ac:dyDescent="0.3">
      <c r="A438">
        <v>436</v>
      </c>
      <c r="B438">
        <v>4407</v>
      </c>
      <c r="C438">
        <v>48</v>
      </c>
      <c r="D438" t="s">
        <v>11</v>
      </c>
      <c r="E438" t="b">
        <v>0</v>
      </c>
      <c r="F438" s="1">
        <v>26090</v>
      </c>
      <c r="G438">
        <v>24</v>
      </c>
      <c r="H438">
        <v>193938</v>
      </c>
    </row>
    <row r="439" spans="1:8" x14ac:dyDescent="0.3">
      <c r="A439">
        <v>437</v>
      </c>
      <c r="B439">
        <v>4747</v>
      </c>
      <c r="C439">
        <v>49</v>
      </c>
      <c r="D439" t="s">
        <v>10</v>
      </c>
      <c r="E439" t="b">
        <v>0</v>
      </c>
      <c r="F439" s="1">
        <v>31380</v>
      </c>
      <c r="G439">
        <v>20</v>
      </c>
      <c r="H439">
        <v>156976</v>
      </c>
    </row>
    <row r="440" spans="1:8" x14ac:dyDescent="0.3">
      <c r="A440">
        <v>438</v>
      </c>
      <c r="B440">
        <v>9893</v>
      </c>
      <c r="C440">
        <v>54</v>
      </c>
      <c r="D440" t="s">
        <v>9</v>
      </c>
      <c r="E440" t="b">
        <v>0</v>
      </c>
      <c r="F440" s="1">
        <v>26556</v>
      </c>
      <c r="G440">
        <v>29</v>
      </c>
      <c r="H440">
        <v>229200</v>
      </c>
    </row>
    <row r="441" spans="1:8" x14ac:dyDescent="0.3">
      <c r="A441">
        <v>439</v>
      </c>
      <c r="B441">
        <v>1779</v>
      </c>
      <c r="C441">
        <v>47</v>
      </c>
      <c r="D441" t="s">
        <v>9</v>
      </c>
      <c r="E441" t="b">
        <v>0</v>
      </c>
      <c r="F441" s="1">
        <v>34147</v>
      </c>
      <c r="G441">
        <v>24</v>
      </c>
      <c r="H441">
        <v>194985</v>
      </c>
    </row>
    <row r="442" spans="1:8" x14ac:dyDescent="0.3">
      <c r="A442">
        <v>440</v>
      </c>
      <c r="B442">
        <v>3531</v>
      </c>
      <c r="C442">
        <v>40</v>
      </c>
      <c r="D442" t="s">
        <v>11</v>
      </c>
      <c r="E442" t="b">
        <v>1</v>
      </c>
      <c r="F442" s="1">
        <v>26725</v>
      </c>
      <c r="G442">
        <v>19</v>
      </c>
      <c r="H442">
        <v>150665</v>
      </c>
    </row>
    <row r="443" spans="1:8" x14ac:dyDescent="0.3">
      <c r="A443">
        <v>441</v>
      </c>
      <c r="B443">
        <v>9943</v>
      </c>
      <c r="C443">
        <v>45</v>
      </c>
      <c r="D443" t="s">
        <v>10</v>
      </c>
      <c r="E443" t="b">
        <v>0</v>
      </c>
      <c r="F443" s="1">
        <v>30111</v>
      </c>
      <c r="G443">
        <v>22</v>
      </c>
      <c r="H443">
        <v>187991</v>
      </c>
    </row>
    <row r="444" spans="1:8" x14ac:dyDescent="0.3">
      <c r="A444">
        <v>442</v>
      </c>
      <c r="B444">
        <v>6308</v>
      </c>
      <c r="C444">
        <v>55</v>
      </c>
      <c r="D444" t="s">
        <v>10</v>
      </c>
      <c r="E444" t="b">
        <v>0</v>
      </c>
      <c r="F444" s="1">
        <v>41218</v>
      </c>
      <c r="G444">
        <v>26</v>
      </c>
      <c r="H444">
        <v>202446</v>
      </c>
    </row>
    <row r="445" spans="1:8" x14ac:dyDescent="0.3">
      <c r="A445">
        <v>443</v>
      </c>
      <c r="B445">
        <v>4784</v>
      </c>
      <c r="C445">
        <v>55</v>
      </c>
      <c r="D445" t="s">
        <v>8</v>
      </c>
      <c r="E445" t="b">
        <v>1</v>
      </c>
      <c r="F445" s="1">
        <v>43451</v>
      </c>
      <c r="G445">
        <v>25</v>
      </c>
      <c r="H445">
        <v>203933</v>
      </c>
    </row>
    <row r="446" spans="1:8" x14ac:dyDescent="0.3">
      <c r="A446">
        <v>444</v>
      </c>
      <c r="B446">
        <v>8665</v>
      </c>
      <c r="C446">
        <v>59</v>
      </c>
      <c r="D446" t="s">
        <v>9</v>
      </c>
      <c r="E446" t="b">
        <v>1</v>
      </c>
      <c r="F446" s="1">
        <v>36814</v>
      </c>
      <c r="G446">
        <v>29</v>
      </c>
      <c r="H446">
        <v>234277</v>
      </c>
    </row>
    <row r="447" spans="1:8" x14ac:dyDescent="0.3">
      <c r="A447">
        <v>445</v>
      </c>
      <c r="B447">
        <v>8492</v>
      </c>
      <c r="C447">
        <v>54</v>
      </c>
      <c r="D447" t="s">
        <v>11</v>
      </c>
      <c r="E447" t="b">
        <v>1</v>
      </c>
      <c r="F447" s="1">
        <v>26443</v>
      </c>
      <c r="G447">
        <v>28</v>
      </c>
      <c r="H447">
        <v>225715</v>
      </c>
    </row>
    <row r="448" spans="1:8" x14ac:dyDescent="0.3">
      <c r="A448">
        <v>446</v>
      </c>
      <c r="B448">
        <v>2639</v>
      </c>
      <c r="C448">
        <v>24</v>
      </c>
      <c r="D448" t="s">
        <v>11</v>
      </c>
      <c r="E448" t="b">
        <v>0</v>
      </c>
      <c r="F448" s="1">
        <v>35453</v>
      </c>
      <c r="G448">
        <v>10</v>
      </c>
      <c r="H448">
        <v>75812</v>
      </c>
    </row>
    <row r="449" spans="1:8" x14ac:dyDescent="0.3">
      <c r="A449">
        <v>447</v>
      </c>
      <c r="B449">
        <v>3328</v>
      </c>
      <c r="C449">
        <v>24</v>
      </c>
      <c r="D449" t="s">
        <v>9</v>
      </c>
      <c r="E449" t="b">
        <v>1</v>
      </c>
      <c r="F449" s="1">
        <v>32021</v>
      </c>
      <c r="G449">
        <v>8</v>
      </c>
      <c r="H449">
        <v>68134</v>
      </c>
    </row>
    <row r="450" spans="1:8" x14ac:dyDescent="0.3">
      <c r="A450">
        <v>448</v>
      </c>
      <c r="B450">
        <v>3255</v>
      </c>
      <c r="C450">
        <v>48</v>
      </c>
      <c r="D450" t="s">
        <v>8</v>
      </c>
      <c r="E450" t="b">
        <v>0</v>
      </c>
      <c r="F450" s="1">
        <v>35729</v>
      </c>
      <c r="G450">
        <v>20</v>
      </c>
      <c r="H450">
        <v>155985</v>
      </c>
    </row>
    <row r="451" spans="1:8" x14ac:dyDescent="0.3">
      <c r="A451">
        <v>449</v>
      </c>
      <c r="B451">
        <v>4651</v>
      </c>
      <c r="C451">
        <v>50</v>
      </c>
      <c r="D451" t="s">
        <v>8</v>
      </c>
      <c r="E451" t="b">
        <v>1</v>
      </c>
      <c r="F451" s="1">
        <v>37779</v>
      </c>
      <c r="G451">
        <v>27</v>
      </c>
      <c r="H451">
        <v>222685</v>
      </c>
    </row>
    <row r="452" spans="1:8" x14ac:dyDescent="0.3">
      <c r="A452">
        <v>450</v>
      </c>
      <c r="B452">
        <v>6391</v>
      </c>
      <c r="C452">
        <v>49</v>
      </c>
      <c r="D452" t="s">
        <v>9</v>
      </c>
      <c r="E452" t="b">
        <v>0</v>
      </c>
      <c r="F452" s="1">
        <v>38217</v>
      </c>
      <c r="G452">
        <v>28</v>
      </c>
      <c r="H452">
        <v>220500</v>
      </c>
    </row>
    <row r="453" spans="1:8" x14ac:dyDescent="0.3">
      <c r="A453">
        <v>451</v>
      </c>
      <c r="B453">
        <v>9655</v>
      </c>
      <c r="C453">
        <v>31</v>
      </c>
      <c r="D453" t="s">
        <v>8</v>
      </c>
      <c r="E453" t="b">
        <v>1</v>
      </c>
      <c r="F453" s="1">
        <v>39247</v>
      </c>
      <c r="G453">
        <v>15</v>
      </c>
      <c r="H453">
        <v>126388</v>
      </c>
    </row>
    <row r="454" spans="1:8" x14ac:dyDescent="0.3">
      <c r="A454">
        <v>452</v>
      </c>
      <c r="B454">
        <v>6856</v>
      </c>
      <c r="C454">
        <v>37</v>
      </c>
      <c r="D454" t="s">
        <v>9</v>
      </c>
      <c r="E454" t="b">
        <v>1</v>
      </c>
      <c r="F454" s="1">
        <v>39761</v>
      </c>
      <c r="G454">
        <v>21</v>
      </c>
      <c r="H454">
        <v>169212</v>
      </c>
    </row>
    <row r="455" spans="1:8" x14ac:dyDescent="0.3">
      <c r="A455">
        <v>453</v>
      </c>
      <c r="B455">
        <v>7141</v>
      </c>
      <c r="C455">
        <v>45</v>
      </c>
      <c r="D455" t="s">
        <v>11</v>
      </c>
      <c r="E455" t="b">
        <v>1</v>
      </c>
      <c r="F455" s="1">
        <v>38945</v>
      </c>
      <c r="G455">
        <v>24</v>
      </c>
      <c r="H455">
        <v>186015</v>
      </c>
    </row>
    <row r="456" spans="1:8" x14ac:dyDescent="0.3">
      <c r="A456">
        <v>454</v>
      </c>
      <c r="B456">
        <v>2259</v>
      </c>
      <c r="C456">
        <v>52</v>
      </c>
      <c r="D456" t="s">
        <v>8</v>
      </c>
      <c r="E456" t="b">
        <v>1</v>
      </c>
      <c r="F456" s="1">
        <v>44622</v>
      </c>
      <c r="G456">
        <v>27</v>
      </c>
      <c r="H456">
        <v>217544</v>
      </c>
    </row>
    <row r="457" spans="1:8" x14ac:dyDescent="0.3">
      <c r="A457">
        <v>455</v>
      </c>
      <c r="B457">
        <v>5518</v>
      </c>
      <c r="C457">
        <v>33</v>
      </c>
      <c r="D457" t="s">
        <v>10</v>
      </c>
      <c r="E457" t="b">
        <v>1</v>
      </c>
      <c r="F457" s="1">
        <v>44267</v>
      </c>
      <c r="G457">
        <v>17</v>
      </c>
      <c r="H457">
        <v>128767</v>
      </c>
    </row>
    <row r="458" spans="1:8" x14ac:dyDescent="0.3">
      <c r="A458">
        <v>456</v>
      </c>
      <c r="B458">
        <v>5641</v>
      </c>
      <c r="C458">
        <v>60</v>
      </c>
      <c r="D458" t="s">
        <v>10</v>
      </c>
      <c r="E458" t="b">
        <v>0</v>
      </c>
      <c r="F458" s="1">
        <v>40770</v>
      </c>
      <c r="G458">
        <v>27</v>
      </c>
      <c r="H458">
        <v>216812</v>
      </c>
    </row>
    <row r="459" spans="1:8" x14ac:dyDescent="0.3">
      <c r="A459">
        <v>457</v>
      </c>
      <c r="B459">
        <v>8734</v>
      </c>
      <c r="C459">
        <v>50</v>
      </c>
      <c r="D459" t="s">
        <v>11</v>
      </c>
      <c r="E459" t="b">
        <v>0</v>
      </c>
      <c r="F459" s="1">
        <v>45227</v>
      </c>
      <c r="G459">
        <v>21</v>
      </c>
      <c r="H459">
        <v>174984</v>
      </c>
    </row>
    <row r="460" spans="1:8" x14ac:dyDescent="0.3">
      <c r="A460">
        <v>458</v>
      </c>
      <c r="B460">
        <v>7473</v>
      </c>
      <c r="C460">
        <v>49</v>
      </c>
      <c r="D460" t="s">
        <v>9</v>
      </c>
      <c r="E460" t="b">
        <v>1</v>
      </c>
      <c r="F460" s="1">
        <v>26908</v>
      </c>
      <c r="G460">
        <v>24</v>
      </c>
      <c r="H460">
        <v>192274</v>
      </c>
    </row>
    <row r="461" spans="1:8" x14ac:dyDescent="0.3">
      <c r="A461">
        <v>459</v>
      </c>
      <c r="B461">
        <v>8293</v>
      </c>
      <c r="C461">
        <v>52</v>
      </c>
      <c r="D461" t="s">
        <v>12</v>
      </c>
      <c r="E461" t="b">
        <v>1</v>
      </c>
      <c r="F461" s="1">
        <v>44236</v>
      </c>
      <c r="G461">
        <v>28</v>
      </c>
      <c r="H461">
        <v>216683</v>
      </c>
    </row>
    <row r="462" spans="1:8" x14ac:dyDescent="0.3">
      <c r="A462">
        <v>460</v>
      </c>
      <c r="B462">
        <v>1014</v>
      </c>
      <c r="C462">
        <v>51</v>
      </c>
      <c r="D462" t="s">
        <v>11</v>
      </c>
      <c r="E462" t="b">
        <v>0</v>
      </c>
      <c r="F462" s="1">
        <v>30822</v>
      </c>
      <c r="G462">
        <v>22</v>
      </c>
      <c r="H462">
        <v>184887</v>
      </c>
    </row>
    <row r="463" spans="1:8" x14ac:dyDescent="0.3">
      <c r="A463">
        <v>461</v>
      </c>
      <c r="B463">
        <v>4824</v>
      </c>
      <c r="C463">
        <v>42</v>
      </c>
      <c r="D463" t="s">
        <v>9</v>
      </c>
      <c r="E463" t="b">
        <v>1</v>
      </c>
      <c r="F463" s="1">
        <v>35023</v>
      </c>
      <c r="G463">
        <v>21</v>
      </c>
      <c r="H463">
        <v>160580</v>
      </c>
    </row>
    <row r="464" spans="1:8" x14ac:dyDescent="0.3">
      <c r="A464">
        <v>462</v>
      </c>
      <c r="B464">
        <v>8260</v>
      </c>
      <c r="C464">
        <v>55</v>
      </c>
      <c r="D464" t="s">
        <v>10</v>
      </c>
      <c r="E464" t="b">
        <v>0</v>
      </c>
      <c r="F464" s="1">
        <v>36030</v>
      </c>
      <c r="G464">
        <v>30</v>
      </c>
      <c r="H464">
        <v>245031</v>
      </c>
    </row>
    <row r="465" spans="1:8" x14ac:dyDescent="0.3">
      <c r="A465">
        <v>463</v>
      </c>
      <c r="B465">
        <v>8101</v>
      </c>
      <c r="C465">
        <v>52</v>
      </c>
      <c r="D465" t="s">
        <v>11</v>
      </c>
      <c r="E465" t="b">
        <v>1</v>
      </c>
      <c r="F465" s="1">
        <v>32226</v>
      </c>
      <c r="G465">
        <v>19</v>
      </c>
      <c r="H465">
        <v>148735</v>
      </c>
    </row>
    <row r="466" spans="1:8" x14ac:dyDescent="0.3">
      <c r="A466">
        <v>464</v>
      </c>
      <c r="B466">
        <v>1488</v>
      </c>
      <c r="C466">
        <v>44</v>
      </c>
      <c r="D466" t="s">
        <v>11</v>
      </c>
      <c r="E466" t="b">
        <v>1</v>
      </c>
      <c r="F466" s="1">
        <v>30126</v>
      </c>
      <c r="G466">
        <v>19</v>
      </c>
      <c r="H466">
        <v>150934</v>
      </c>
    </row>
    <row r="467" spans="1:8" x14ac:dyDescent="0.3">
      <c r="A467">
        <v>465</v>
      </c>
      <c r="B467">
        <v>9373</v>
      </c>
      <c r="C467">
        <v>52</v>
      </c>
      <c r="D467" t="s">
        <v>10</v>
      </c>
      <c r="E467" t="b">
        <v>1</v>
      </c>
      <c r="F467" s="1">
        <v>36780</v>
      </c>
      <c r="G467">
        <v>31</v>
      </c>
      <c r="H467">
        <v>249071</v>
      </c>
    </row>
    <row r="468" spans="1:8" x14ac:dyDescent="0.3">
      <c r="A468">
        <v>466</v>
      </c>
      <c r="B468">
        <v>2643</v>
      </c>
      <c r="C468">
        <v>53</v>
      </c>
      <c r="D468" t="s">
        <v>11</v>
      </c>
      <c r="E468" t="b">
        <v>0</v>
      </c>
      <c r="F468" s="1">
        <v>33270</v>
      </c>
      <c r="G468">
        <v>29</v>
      </c>
      <c r="H468">
        <v>235550</v>
      </c>
    </row>
    <row r="469" spans="1:8" x14ac:dyDescent="0.3">
      <c r="A469">
        <v>467</v>
      </c>
      <c r="B469">
        <v>1498</v>
      </c>
      <c r="C469">
        <v>36</v>
      </c>
      <c r="D469" t="s">
        <v>9</v>
      </c>
      <c r="E469" t="b">
        <v>0</v>
      </c>
      <c r="F469" s="1">
        <v>31936</v>
      </c>
      <c r="G469">
        <v>19</v>
      </c>
      <c r="H469">
        <v>151124</v>
      </c>
    </row>
    <row r="470" spans="1:8" x14ac:dyDescent="0.3">
      <c r="A470">
        <v>468</v>
      </c>
      <c r="B470">
        <v>1515</v>
      </c>
      <c r="C470">
        <v>39</v>
      </c>
      <c r="D470" t="s">
        <v>9</v>
      </c>
      <c r="E470" t="b">
        <v>0</v>
      </c>
      <c r="F470" s="1">
        <v>39364</v>
      </c>
      <c r="G470">
        <v>17</v>
      </c>
      <c r="H470">
        <v>140001</v>
      </c>
    </row>
    <row r="471" spans="1:8" x14ac:dyDescent="0.3">
      <c r="A471">
        <v>469</v>
      </c>
      <c r="B471">
        <v>1919</v>
      </c>
      <c r="C471">
        <v>23</v>
      </c>
      <c r="D471" t="s">
        <v>11</v>
      </c>
      <c r="E471" t="b">
        <v>1</v>
      </c>
      <c r="F471" s="1">
        <v>31298</v>
      </c>
      <c r="G471">
        <v>10</v>
      </c>
      <c r="H471">
        <v>78834</v>
      </c>
    </row>
    <row r="472" spans="1:8" x14ac:dyDescent="0.3">
      <c r="A472">
        <v>470</v>
      </c>
      <c r="B472">
        <v>4464</v>
      </c>
      <c r="C472">
        <v>27</v>
      </c>
      <c r="D472" t="s">
        <v>12</v>
      </c>
      <c r="E472" t="b">
        <v>1</v>
      </c>
      <c r="F472" s="1">
        <v>26061</v>
      </c>
      <c r="G472">
        <v>10</v>
      </c>
      <c r="H472">
        <v>82592</v>
      </c>
    </row>
    <row r="473" spans="1:8" x14ac:dyDescent="0.3">
      <c r="A473">
        <v>471</v>
      </c>
      <c r="B473">
        <v>6062</v>
      </c>
      <c r="C473">
        <v>27</v>
      </c>
      <c r="D473" t="s">
        <v>11</v>
      </c>
      <c r="E473" t="b">
        <v>0</v>
      </c>
      <c r="F473" s="1">
        <v>28054</v>
      </c>
      <c r="G473">
        <v>14</v>
      </c>
      <c r="H473">
        <v>115688</v>
      </c>
    </row>
    <row r="474" spans="1:8" x14ac:dyDescent="0.3">
      <c r="A474">
        <v>472</v>
      </c>
      <c r="B474">
        <v>8609</v>
      </c>
      <c r="C474">
        <v>60</v>
      </c>
      <c r="D474" t="s">
        <v>9</v>
      </c>
      <c r="E474" t="b">
        <v>0</v>
      </c>
      <c r="F474" s="1">
        <v>37524</v>
      </c>
      <c r="G474">
        <v>33</v>
      </c>
      <c r="H474">
        <v>263818</v>
      </c>
    </row>
    <row r="475" spans="1:8" x14ac:dyDescent="0.3">
      <c r="A475">
        <v>473</v>
      </c>
      <c r="B475">
        <v>3523</v>
      </c>
      <c r="C475">
        <v>45</v>
      </c>
      <c r="D475" t="s">
        <v>11</v>
      </c>
      <c r="E475" t="b">
        <v>0</v>
      </c>
      <c r="F475" s="1">
        <v>28649</v>
      </c>
      <c r="G475">
        <v>23</v>
      </c>
      <c r="H475">
        <v>178139</v>
      </c>
    </row>
    <row r="476" spans="1:8" x14ac:dyDescent="0.3">
      <c r="A476">
        <v>474</v>
      </c>
      <c r="B476">
        <v>7576</v>
      </c>
      <c r="C476">
        <v>48</v>
      </c>
      <c r="D476" t="s">
        <v>9</v>
      </c>
      <c r="E476" t="b">
        <v>1</v>
      </c>
      <c r="F476" s="1">
        <v>38946</v>
      </c>
      <c r="G476">
        <v>24</v>
      </c>
      <c r="H476">
        <v>194575</v>
      </c>
    </row>
    <row r="477" spans="1:8" x14ac:dyDescent="0.3">
      <c r="A477">
        <v>475</v>
      </c>
      <c r="B477">
        <v>9175</v>
      </c>
      <c r="C477">
        <v>44</v>
      </c>
      <c r="D477" t="s">
        <v>9</v>
      </c>
      <c r="E477" t="b">
        <v>1</v>
      </c>
      <c r="F477" s="1">
        <v>27142</v>
      </c>
      <c r="G477">
        <v>27</v>
      </c>
      <c r="H477">
        <v>213467</v>
      </c>
    </row>
    <row r="478" spans="1:8" x14ac:dyDescent="0.3">
      <c r="A478">
        <v>476</v>
      </c>
      <c r="B478">
        <v>4299</v>
      </c>
      <c r="C478">
        <v>43</v>
      </c>
      <c r="D478" t="s">
        <v>9</v>
      </c>
      <c r="E478" t="b">
        <v>1</v>
      </c>
      <c r="F478" s="1">
        <v>45803</v>
      </c>
      <c r="G478">
        <v>19</v>
      </c>
      <c r="H478">
        <v>155006</v>
      </c>
    </row>
    <row r="479" spans="1:8" x14ac:dyDescent="0.3">
      <c r="A479">
        <v>477</v>
      </c>
      <c r="B479">
        <v>1747</v>
      </c>
      <c r="C479">
        <v>51</v>
      </c>
      <c r="D479" t="s">
        <v>10</v>
      </c>
      <c r="E479" t="b">
        <v>1</v>
      </c>
      <c r="F479" s="1">
        <v>31744</v>
      </c>
      <c r="G479">
        <v>24</v>
      </c>
      <c r="H479">
        <v>192646</v>
      </c>
    </row>
    <row r="480" spans="1:8" x14ac:dyDescent="0.3">
      <c r="A480">
        <v>478</v>
      </c>
      <c r="B480">
        <v>5284</v>
      </c>
      <c r="C480">
        <v>62</v>
      </c>
      <c r="D480" t="s">
        <v>12</v>
      </c>
      <c r="E480" t="b">
        <v>0</v>
      </c>
      <c r="F480" s="1">
        <v>27269</v>
      </c>
      <c r="G480">
        <v>29</v>
      </c>
      <c r="H480">
        <v>232123</v>
      </c>
    </row>
    <row r="481" spans="1:8" x14ac:dyDescent="0.3">
      <c r="A481">
        <v>479</v>
      </c>
      <c r="B481">
        <v>3907</v>
      </c>
      <c r="C481">
        <v>56</v>
      </c>
      <c r="D481" t="s">
        <v>9</v>
      </c>
      <c r="E481" t="b">
        <v>1</v>
      </c>
      <c r="F481" s="1">
        <v>40741</v>
      </c>
      <c r="G481">
        <v>29</v>
      </c>
      <c r="H481">
        <v>229395</v>
      </c>
    </row>
    <row r="482" spans="1:8" x14ac:dyDescent="0.3">
      <c r="A482">
        <v>480</v>
      </c>
      <c r="B482">
        <v>3543</v>
      </c>
      <c r="C482">
        <v>45</v>
      </c>
      <c r="D482" t="s">
        <v>10</v>
      </c>
      <c r="E482" t="b">
        <v>0</v>
      </c>
      <c r="F482" s="1">
        <v>40877</v>
      </c>
      <c r="G482">
        <v>25</v>
      </c>
      <c r="H482">
        <v>202850</v>
      </c>
    </row>
    <row r="483" spans="1:8" x14ac:dyDescent="0.3">
      <c r="A483">
        <v>481</v>
      </c>
      <c r="B483">
        <v>5168</v>
      </c>
      <c r="C483">
        <v>23</v>
      </c>
      <c r="D483" t="s">
        <v>12</v>
      </c>
      <c r="E483" t="b">
        <v>1</v>
      </c>
      <c r="F483" s="1">
        <v>26750</v>
      </c>
      <c r="G483">
        <v>10</v>
      </c>
      <c r="H483">
        <v>85536</v>
      </c>
    </row>
    <row r="484" spans="1:8" x14ac:dyDescent="0.3">
      <c r="A484">
        <v>482</v>
      </c>
      <c r="B484">
        <v>2060</v>
      </c>
      <c r="C484">
        <v>42</v>
      </c>
      <c r="D484" t="s">
        <v>11</v>
      </c>
      <c r="E484" t="b">
        <v>1</v>
      </c>
      <c r="F484" s="1">
        <v>34634</v>
      </c>
      <c r="G484">
        <v>21</v>
      </c>
      <c r="H484">
        <v>172003</v>
      </c>
    </row>
    <row r="485" spans="1:8" x14ac:dyDescent="0.3">
      <c r="A485">
        <v>483</v>
      </c>
      <c r="B485">
        <v>5476</v>
      </c>
      <c r="C485">
        <v>56</v>
      </c>
      <c r="D485" t="s">
        <v>8</v>
      </c>
      <c r="E485" t="b">
        <v>0</v>
      </c>
      <c r="F485" s="1">
        <v>40881</v>
      </c>
      <c r="G485">
        <v>29</v>
      </c>
      <c r="H485">
        <v>235111</v>
      </c>
    </row>
    <row r="486" spans="1:8" x14ac:dyDescent="0.3">
      <c r="A486">
        <v>484</v>
      </c>
      <c r="B486">
        <v>5336</v>
      </c>
      <c r="C486">
        <v>60</v>
      </c>
      <c r="D486" t="s">
        <v>9</v>
      </c>
      <c r="E486" t="b">
        <v>1</v>
      </c>
      <c r="F486" s="1">
        <v>26158</v>
      </c>
      <c r="G486">
        <v>32</v>
      </c>
      <c r="H486">
        <v>248177</v>
      </c>
    </row>
    <row r="487" spans="1:8" x14ac:dyDescent="0.3">
      <c r="A487">
        <v>485</v>
      </c>
      <c r="B487">
        <v>7226</v>
      </c>
      <c r="C487">
        <v>38</v>
      </c>
      <c r="D487" t="s">
        <v>11</v>
      </c>
      <c r="E487" t="b">
        <v>1</v>
      </c>
      <c r="F487" s="1">
        <v>43419</v>
      </c>
      <c r="G487">
        <v>25</v>
      </c>
      <c r="H487">
        <v>199358</v>
      </c>
    </row>
    <row r="488" spans="1:8" x14ac:dyDescent="0.3">
      <c r="A488">
        <v>486</v>
      </c>
      <c r="B488">
        <v>7799</v>
      </c>
      <c r="C488">
        <v>42</v>
      </c>
      <c r="D488" t="s">
        <v>8</v>
      </c>
      <c r="E488" t="b">
        <v>0</v>
      </c>
      <c r="F488" s="1">
        <v>31987</v>
      </c>
      <c r="G488">
        <v>24</v>
      </c>
      <c r="H488">
        <v>189242</v>
      </c>
    </row>
    <row r="489" spans="1:8" x14ac:dyDescent="0.3">
      <c r="A489">
        <v>487</v>
      </c>
      <c r="B489">
        <v>1518</v>
      </c>
      <c r="C489">
        <v>35</v>
      </c>
      <c r="D489" t="s">
        <v>9</v>
      </c>
      <c r="E489" t="b">
        <v>1</v>
      </c>
      <c r="F489" s="1">
        <v>36995</v>
      </c>
      <c r="G489">
        <v>14</v>
      </c>
      <c r="H489">
        <v>115170</v>
      </c>
    </row>
    <row r="490" spans="1:8" x14ac:dyDescent="0.3">
      <c r="A490">
        <v>488</v>
      </c>
      <c r="B490">
        <v>5175</v>
      </c>
      <c r="C490">
        <v>64</v>
      </c>
      <c r="D490" t="s">
        <v>12</v>
      </c>
      <c r="E490" t="b">
        <v>0</v>
      </c>
      <c r="F490" s="1">
        <v>37165</v>
      </c>
      <c r="G490">
        <v>35</v>
      </c>
      <c r="H490">
        <v>285886</v>
      </c>
    </row>
    <row r="491" spans="1:8" x14ac:dyDescent="0.3">
      <c r="A491">
        <v>489</v>
      </c>
      <c r="B491">
        <v>8349</v>
      </c>
      <c r="C491">
        <v>48</v>
      </c>
      <c r="D491" t="s">
        <v>12</v>
      </c>
      <c r="E491" t="b">
        <v>1</v>
      </c>
      <c r="F491" s="1">
        <v>27176</v>
      </c>
      <c r="G491">
        <v>23</v>
      </c>
      <c r="H491">
        <v>177664</v>
      </c>
    </row>
    <row r="492" spans="1:8" x14ac:dyDescent="0.3">
      <c r="A492">
        <v>490</v>
      </c>
      <c r="B492">
        <v>2319</v>
      </c>
      <c r="C492">
        <v>29</v>
      </c>
      <c r="D492" t="s">
        <v>10</v>
      </c>
      <c r="E492" t="b">
        <v>0</v>
      </c>
      <c r="F492" s="1">
        <v>31692</v>
      </c>
      <c r="G492">
        <v>15</v>
      </c>
      <c r="H492">
        <v>113358</v>
      </c>
    </row>
    <row r="493" spans="1:8" x14ac:dyDescent="0.3">
      <c r="A493">
        <v>491</v>
      </c>
      <c r="B493">
        <v>5357</v>
      </c>
      <c r="C493">
        <v>27</v>
      </c>
      <c r="D493" t="s">
        <v>8</v>
      </c>
      <c r="E493" t="b">
        <v>1</v>
      </c>
      <c r="F493" s="1">
        <v>27720</v>
      </c>
      <c r="G493">
        <v>14</v>
      </c>
      <c r="H493">
        <v>115037</v>
      </c>
    </row>
    <row r="494" spans="1:8" x14ac:dyDescent="0.3">
      <c r="A494">
        <v>492</v>
      </c>
      <c r="B494">
        <v>6309</v>
      </c>
      <c r="C494">
        <v>43</v>
      </c>
      <c r="D494" t="s">
        <v>11</v>
      </c>
      <c r="E494" t="b">
        <v>1</v>
      </c>
      <c r="F494" s="1">
        <v>34266</v>
      </c>
      <c r="G494">
        <v>23</v>
      </c>
      <c r="H494">
        <v>183906</v>
      </c>
    </row>
    <row r="495" spans="1:8" x14ac:dyDescent="0.3">
      <c r="A495">
        <v>493</v>
      </c>
      <c r="B495">
        <v>3870</v>
      </c>
      <c r="C495">
        <v>42</v>
      </c>
      <c r="D495" t="s">
        <v>12</v>
      </c>
      <c r="E495" t="b">
        <v>0</v>
      </c>
      <c r="F495" s="1">
        <v>26681</v>
      </c>
      <c r="G495">
        <v>22</v>
      </c>
      <c r="H495">
        <v>176978</v>
      </c>
    </row>
    <row r="496" spans="1:8" x14ac:dyDescent="0.3">
      <c r="A496">
        <v>494</v>
      </c>
      <c r="B496">
        <v>3740</v>
      </c>
      <c r="C496">
        <v>59</v>
      </c>
      <c r="D496" t="s">
        <v>11</v>
      </c>
      <c r="E496" t="b">
        <v>0</v>
      </c>
      <c r="F496" s="1">
        <v>41789</v>
      </c>
      <c r="G496">
        <v>31</v>
      </c>
      <c r="H496">
        <v>257256</v>
      </c>
    </row>
    <row r="497" spans="1:8" x14ac:dyDescent="0.3">
      <c r="A497">
        <v>495</v>
      </c>
      <c r="B497">
        <v>8426</v>
      </c>
      <c r="C497">
        <v>32</v>
      </c>
      <c r="D497" t="s">
        <v>10</v>
      </c>
      <c r="E497" t="b">
        <v>1</v>
      </c>
      <c r="F497" s="1">
        <v>41612</v>
      </c>
      <c r="G497">
        <v>16</v>
      </c>
      <c r="H497">
        <v>126088</v>
      </c>
    </row>
    <row r="498" spans="1:8" x14ac:dyDescent="0.3">
      <c r="A498">
        <v>496</v>
      </c>
      <c r="B498">
        <v>9810</v>
      </c>
      <c r="C498">
        <v>26</v>
      </c>
      <c r="D498" t="s">
        <v>12</v>
      </c>
      <c r="E498" t="b">
        <v>1</v>
      </c>
      <c r="F498" s="1">
        <v>44683</v>
      </c>
      <c r="G498">
        <v>15</v>
      </c>
      <c r="H498">
        <v>118094</v>
      </c>
    </row>
    <row r="499" spans="1:8" x14ac:dyDescent="0.3">
      <c r="A499">
        <v>497</v>
      </c>
      <c r="B499">
        <v>5396</v>
      </c>
      <c r="C499">
        <v>34</v>
      </c>
      <c r="D499" t="s">
        <v>8</v>
      </c>
      <c r="E499" t="b">
        <v>0</v>
      </c>
      <c r="F499" s="1">
        <v>45769</v>
      </c>
      <c r="G499">
        <v>16</v>
      </c>
      <c r="H499">
        <v>131208</v>
      </c>
    </row>
    <row r="500" spans="1:8" x14ac:dyDescent="0.3">
      <c r="A500">
        <v>498</v>
      </c>
      <c r="B500">
        <v>7546</v>
      </c>
      <c r="C500">
        <v>60</v>
      </c>
      <c r="D500" t="s">
        <v>11</v>
      </c>
      <c r="E500" t="b">
        <v>0</v>
      </c>
      <c r="F500" s="1">
        <v>25581</v>
      </c>
      <c r="G500">
        <v>28</v>
      </c>
      <c r="H500">
        <v>224502</v>
      </c>
    </row>
    <row r="501" spans="1:8" x14ac:dyDescent="0.3">
      <c r="A501">
        <v>499</v>
      </c>
      <c r="B501">
        <v>7744</v>
      </c>
      <c r="C501">
        <v>29</v>
      </c>
      <c r="D501" t="s">
        <v>8</v>
      </c>
      <c r="E501" t="b">
        <v>1</v>
      </c>
      <c r="F501" s="1">
        <v>32315</v>
      </c>
      <c r="G501">
        <v>15</v>
      </c>
      <c r="H501">
        <v>114758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2833B-D25F-469C-B151-7E2C224FB159}">
  <dimension ref="A1:K501"/>
  <sheetViews>
    <sheetView topLeftCell="A215" workbookViewId="0">
      <selection activeCell="E242" sqref="E242"/>
    </sheetView>
  </sheetViews>
  <sheetFormatPr defaultRowHeight="14.4" x14ac:dyDescent="0.3"/>
  <cols>
    <col min="1" max="1" width="7.44140625" customWidth="1"/>
    <col min="2" max="2" width="13.6640625" customWidth="1"/>
    <col min="3" max="3" width="5.88671875" customWidth="1"/>
    <col min="4" max="4" width="13.77734375" style="5" bestFit="1" customWidth="1"/>
    <col min="5" max="5" width="12.88671875" customWidth="1"/>
    <col min="6" max="6" width="12.109375" customWidth="1"/>
    <col min="7" max="7" width="11.109375" bestFit="1" customWidth="1"/>
    <col min="8" max="8" width="12.109375" customWidth="1"/>
    <col min="9" max="9" width="17.5546875" style="6" bestFit="1" customWidth="1"/>
    <col min="10" max="10" width="8.44140625" bestFit="1" customWidth="1"/>
    <col min="11" max="11" width="13.44140625" style="6" bestFit="1" customWidth="1"/>
  </cols>
  <sheetData>
    <row r="1" spans="1:11" x14ac:dyDescent="0.3">
      <c r="A1" t="s">
        <v>0</v>
      </c>
      <c r="B1" t="s">
        <v>1</v>
      </c>
      <c r="C1" t="s">
        <v>2</v>
      </c>
      <c r="D1" s="29" t="s">
        <v>77</v>
      </c>
      <c r="E1" t="s">
        <v>3</v>
      </c>
      <c r="F1" t="s">
        <v>4</v>
      </c>
      <c r="G1" t="s">
        <v>5</v>
      </c>
      <c r="H1" t="s">
        <v>6</v>
      </c>
      <c r="I1" s="9" t="s">
        <v>85</v>
      </c>
      <c r="J1" t="s">
        <v>7</v>
      </c>
      <c r="K1" s="9" t="s">
        <v>82</v>
      </c>
    </row>
    <row r="2" spans="1:11" x14ac:dyDescent="0.3">
      <c r="A2">
        <v>0</v>
      </c>
      <c r="B2">
        <v>8794</v>
      </c>
      <c r="C2">
        <v>60</v>
      </c>
      <c r="D2" s="5" t="str" cm="1">
        <f t="array" ref="D2">_xlfn.IFS(C2&lt;30, "20-29",C2&lt;40, "30-39",C2&lt;50, "40-49",C2&lt;60, "50-59",Table4[[#This Row],[Age]]&gt;=60, "60+"  )</f>
        <v>60+</v>
      </c>
      <c r="E2" t="s">
        <v>8</v>
      </c>
      <c r="F2" t="b">
        <v>0</v>
      </c>
      <c r="G2" s="1">
        <v>34417</v>
      </c>
      <c r="H2">
        <v>30</v>
      </c>
      <c r="I2" s="5" t="str" cm="1">
        <f t="array" ref="I2">_xlfn.IFS(Table4[[#This Row],[Experience]]&lt;15, "7-15 YEARS",Table4[[#This Row],[Experience]]&lt;23, "15-23  YEARS",Table4[[#This Row],[Experience]]&lt;30, "23-30 YEARS",Table4[[#This Row],[Experience]]&gt;=30, "30+ YEARS")</f>
        <v>30+ YEARS</v>
      </c>
      <c r="J2">
        <v>238668</v>
      </c>
      <c r="K2" s="5" t="str" cm="1">
        <f t="array" ref="K2">_xlfn.IFS(Table4[[#This Row],[Salary]]&lt;50000, "0-50K",Table4[[#This Row],[Salary]]&lt;100000, "50K-1L",Table4[[#This Row],[Salary]]&lt;150000, "1L-1.5L",Table4[[#This Row],[Salary]]&lt;200000, "1.5-2L",Table4[[#This Row],[Salary]]&gt;=200000, "2L+")</f>
        <v>2L+</v>
      </c>
    </row>
    <row r="3" spans="1:11" x14ac:dyDescent="0.3">
      <c r="A3">
        <v>1</v>
      </c>
      <c r="B3">
        <v>8222</v>
      </c>
      <c r="C3">
        <v>28</v>
      </c>
      <c r="D3" s="5" t="str" cm="1">
        <f t="array" ref="D3">_xlfn.IFS(C3&lt;30, "20-29",C3&lt;40, "30-39",C3&lt;50, "40-49",C3&lt;60, "50-59",Table4[[#This Row],[Age]]&gt;=60, "60+"  )</f>
        <v>20-29</v>
      </c>
      <c r="E3" t="s">
        <v>9</v>
      </c>
      <c r="F3" t="b">
        <v>1</v>
      </c>
      <c r="G3" s="1">
        <v>29197</v>
      </c>
      <c r="H3">
        <v>13</v>
      </c>
      <c r="I3" s="5" t="str" cm="1">
        <f t="array" ref="I3">_xlfn.IFS(Table4[[#This Row],[Experience]]&lt;15, "7-15 YEARS",Table4[[#This Row],[Experience]]&lt;23, "15-23  YEARS",Table4[[#This Row],[Experience]]&lt;30, "23-30 YEARS",Table4[[#This Row],[Experience]]&gt;=30, "30+ YEARS")</f>
        <v>7-15 YEARS</v>
      </c>
      <c r="J3">
        <v>105995</v>
      </c>
      <c r="K3" s="5" t="str" cm="1">
        <f t="array" ref="K3">_xlfn.IFS(Table4[[#This Row],[Salary]]&lt;50000, "0-50K",Table4[[#This Row],[Salary]]&lt;100000, "50K-1L",Table4[[#This Row],[Salary]]&lt;150000, "1L-1.5L",Table4[[#This Row],[Salary]]&lt;200000, "1.5-2L",Table4[[#This Row],[Salary]]&gt;=200000, "2L+")</f>
        <v>1L-1.5L</v>
      </c>
    </row>
    <row r="4" spans="1:11" x14ac:dyDescent="0.3">
      <c r="A4">
        <v>2</v>
      </c>
      <c r="B4">
        <v>7643</v>
      </c>
      <c r="C4">
        <v>30</v>
      </c>
      <c r="D4" s="5" t="str" cm="1">
        <f t="array" ref="D4">_xlfn.IFS(C4&lt;30, "20-29",C4&lt;40, "30-39",C4&lt;50, "40-49",C4&lt;60, "50-59",Table4[[#This Row],[Age]]&gt;=60, "60+"  )</f>
        <v>30-39</v>
      </c>
      <c r="E4" t="s">
        <v>10</v>
      </c>
      <c r="F4" t="b">
        <v>0</v>
      </c>
      <c r="G4" s="1">
        <v>36063</v>
      </c>
      <c r="H4">
        <v>11</v>
      </c>
      <c r="I4" s="5" t="str" cm="1">
        <f t="array" ref="I4">_xlfn.IFS(Table4[[#This Row],[Experience]]&lt;15, "7-15 YEARS",Table4[[#This Row],[Experience]]&lt;23, "15-23  YEARS",Table4[[#This Row],[Experience]]&lt;30, "23-30 YEARS",Table4[[#This Row],[Experience]]&gt;=30, "30+ YEARS")</f>
        <v>7-15 YEARS</v>
      </c>
      <c r="J4">
        <v>96120</v>
      </c>
      <c r="K4" s="5" t="str" cm="1">
        <f t="array" ref="K4">_xlfn.IFS(Table4[[#This Row],[Salary]]&lt;50000, "0-50K",Table4[[#This Row],[Salary]]&lt;100000, "50K-1L",Table4[[#This Row],[Salary]]&lt;150000, "1L-1.5L",Table4[[#This Row],[Salary]]&lt;200000, "1.5-2L",Table4[[#This Row],[Salary]]&gt;=200000, "2L+")</f>
        <v>50K-1L</v>
      </c>
    </row>
    <row r="5" spans="1:11" x14ac:dyDescent="0.3">
      <c r="A5">
        <v>3</v>
      </c>
      <c r="B5">
        <v>2737</v>
      </c>
      <c r="C5">
        <v>38</v>
      </c>
      <c r="D5" s="5" t="str" cm="1">
        <f t="array" ref="D5">_xlfn.IFS(C5&lt;30, "20-29",C5&lt;40, "30-39",C5&lt;50, "40-49",C5&lt;60, "50-59",Table4[[#This Row],[Age]]&gt;=60, "60+"  )</f>
        <v>30-39</v>
      </c>
      <c r="E5" t="s">
        <v>11</v>
      </c>
      <c r="F5" t="b">
        <v>1</v>
      </c>
      <c r="G5" s="1">
        <v>40870</v>
      </c>
      <c r="H5">
        <v>20</v>
      </c>
      <c r="I5" s="5" t="str" cm="1">
        <f t="array" ref="I5">_xlfn.IFS(Table4[[#This Row],[Experience]]&lt;15, "7-15 YEARS",Table4[[#This Row],[Experience]]&lt;23, "15-23  YEARS",Table4[[#This Row],[Experience]]&lt;30, "23-30 YEARS",Table4[[#This Row],[Experience]]&gt;=30, "30+ YEARS")</f>
        <v>15-23  YEARS</v>
      </c>
      <c r="J5">
        <v>153525</v>
      </c>
      <c r="K5" s="5" t="str" cm="1">
        <f t="array" ref="K5">_xlfn.IFS(Table4[[#This Row],[Salary]]&lt;50000, "0-50K",Table4[[#This Row],[Salary]]&lt;100000, "50K-1L",Table4[[#This Row],[Salary]]&lt;150000, "1L-1.5L",Table4[[#This Row],[Salary]]&lt;200000, "1.5-2L",Table4[[#This Row],[Salary]]&gt;=200000, "2L+")</f>
        <v>1.5-2L</v>
      </c>
    </row>
    <row r="6" spans="1:11" x14ac:dyDescent="0.3">
      <c r="A6">
        <v>4</v>
      </c>
      <c r="B6">
        <v>8557</v>
      </c>
      <c r="C6">
        <v>61</v>
      </c>
      <c r="D6" s="5" t="str" cm="1">
        <f t="array" ref="D6">_xlfn.IFS(C6&lt;30, "20-29",C6&lt;40, "30-39",C6&lt;50, "40-49",C6&lt;60, "50-59",Table4[[#This Row],[Age]]&gt;=60, "60+"  )</f>
        <v>60+</v>
      </c>
      <c r="E6" t="s">
        <v>11</v>
      </c>
      <c r="F6" t="b">
        <v>1</v>
      </c>
      <c r="G6" s="1">
        <v>28041</v>
      </c>
      <c r="H6">
        <v>31</v>
      </c>
      <c r="I6" s="5" t="str" cm="1">
        <f t="array" ref="I6">_xlfn.IFS(Table4[[#This Row],[Experience]]&lt;15, "7-15 YEARS",Table4[[#This Row],[Experience]]&lt;23, "15-23  YEARS",Table4[[#This Row],[Experience]]&lt;30, "23-30 YEARS",Table4[[#This Row],[Experience]]&gt;=30, "30+ YEARS")</f>
        <v>30+ YEARS</v>
      </c>
      <c r="J6">
        <v>249192</v>
      </c>
      <c r="K6" s="5" t="str" cm="1">
        <f t="array" ref="K6">_xlfn.IFS(Table4[[#This Row],[Salary]]&lt;50000, "0-50K",Table4[[#This Row],[Salary]]&lt;100000, "50K-1L",Table4[[#This Row],[Salary]]&lt;150000, "1L-1.5L",Table4[[#This Row],[Salary]]&lt;200000, "1.5-2L",Table4[[#This Row],[Salary]]&gt;=200000, "2L+")</f>
        <v>2L+</v>
      </c>
    </row>
    <row r="7" spans="1:11" x14ac:dyDescent="0.3">
      <c r="A7">
        <v>5</v>
      </c>
      <c r="B7">
        <v>8484</v>
      </c>
      <c r="C7">
        <v>31</v>
      </c>
      <c r="D7" s="5" t="str" cm="1">
        <f t="array" ref="D7">_xlfn.IFS(C7&lt;30, "20-29",C7&lt;40, "30-39",C7&lt;50, "40-49",C7&lt;60, "50-59",Table4[[#This Row],[Age]]&gt;=60, "60+"  )</f>
        <v>30-39</v>
      </c>
      <c r="E7" t="s">
        <v>10</v>
      </c>
      <c r="F7" t="b">
        <v>0</v>
      </c>
      <c r="G7" s="1">
        <v>30109</v>
      </c>
      <c r="H7">
        <v>14</v>
      </c>
      <c r="I7" s="5" t="str" cm="1">
        <f t="array" ref="I7">_xlfn.IFS(Table4[[#This Row],[Experience]]&lt;15, "7-15 YEARS",Table4[[#This Row],[Experience]]&lt;23, "15-23  YEARS",Table4[[#This Row],[Experience]]&lt;30, "23-30 YEARS",Table4[[#This Row],[Experience]]&gt;=30, "30+ YEARS")</f>
        <v>7-15 YEARS</v>
      </c>
      <c r="J7">
        <v>112443</v>
      </c>
      <c r="K7" s="5" t="str" cm="1">
        <f t="array" ref="K7">_xlfn.IFS(Table4[[#This Row],[Salary]]&lt;50000, "0-50K",Table4[[#This Row],[Salary]]&lt;100000, "50K-1L",Table4[[#This Row],[Salary]]&lt;150000, "1L-1.5L",Table4[[#This Row],[Salary]]&lt;200000, "1.5-2L",Table4[[#This Row],[Salary]]&gt;=200000, "2L+")</f>
        <v>1L-1.5L</v>
      </c>
    </row>
    <row r="8" spans="1:11" x14ac:dyDescent="0.3">
      <c r="A8">
        <v>6</v>
      </c>
      <c r="B8">
        <v>5854</v>
      </c>
      <c r="C8">
        <v>64</v>
      </c>
      <c r="D8" s="5" t="str" cm="1">
        <f t="array" ref="D8">_xlfn.IFS(C8&lt;30, "20-29",C8&lt;40, "30-39",C8&lt;50, "40-49",C8&lt;60, "50-59",Table4[[#This Row],[Age]]&gt;=60, "60+"  )</f>
        <v>60+</v>
      </c>
      <c r="E8" t="s">
        <v>8</v>
      </c>
      <c r="F8" t="b">
        <v>0</v>
      </c>
      <c r="G8" s="1">
        <v>29902</v>
      </c>
      <c r="H8">
        <v>33</v>
      </c>
      <c r="I8" s="5" t="str" cm="1">
        <f t="array" ref="I8">_xlfn.IFS(Table4[[#This Row],[Experience]]&lt;15, "7-15 YEARS",Table4[[#This Row],[Experience]]&lt;23, "15-23  YEARS",Table4[[#This Row],[Experience]]&lt;30, "23-30 YEARS",Table4[[#This Row],[Experience]]&gt;=30, "30+ YEARS")</f>
        <v>30+ YEARS</v>
      </c>
      <c r="J8">
        <v>269150</v>
      </c>
      <c r="K8" s="5" t="str" cm="1">
        <f t="array" ref="K8">_xlfn.IFS(Table4[[#This Row],[Salary]]&lt;50000, "0-50K",Table4[[#This Row],[Salary]]&lt;100000, "50K-1L",Table4[[#This Row],[Salary]]&lt;150000, "1L-1.5L",Table4[[#This Row],[Salary]]&lt;200000, "1.5-2L",Table4[[#This Row],[Salary]]&gt;=200000, "2L+")</f>
        <v>2L+</v>
      </c>
    </row>
    <row r="9" spans="1:11" x14ac:dyDescent="0.3">
      <c r="A9">
        <v>7</v>
      </c>
      <c r="B9">
        <v>6012</v>
      </c>
      <c r="C9">
        <v>33</v>
      </c>
      <c r="D9" s="5" t="str" cm="1">
        <f t="array" ref="D9">_xlfn.IFS(C9&lt;30, "20-29",C9&lt;40, "30-39",C9&lt;50, "40-49",C9&lt;60, "50-59",Table4[[#This Row],[Age]]&gt;=60, "60+"  )</f>
        <v>30-39</v>
      </c>
      <c r="E9" t="s">
        <v>8</v>
      </c>
      <c r="F9" t="b">
        <v>0</v>
      </c>
      <c r="G9" s="1">
        <v>30587</v>
      </c>
      <c r="H9">
        <v>13</v>
      </c>
      <c r="I9" s="5" t="str" cm="1">
        <f t="array" ref="I9">_xlfn.IFS(Table4[[#This Row],[Experience]]&lt;15, "7-15 YEARS",Table4[[#This Row],[Experience]]&lt;23, "15-23  YEARS",Table4[[#This Row],[Experience]]&lt;30, "23-30 YEARS",Table4[[#This Row],[Experience]]&gt;=30, "30+ YEARS")</f>
        <v>7-15 YEARS</v>
      </c>
      <c r="J9">
        <v>99541</v>
      </c>
      <c r="K9" s="5" t="str" cm="1">
        <f t="array" ref="K9">_xlfn.IFS(Table4[[#This Row],[Salary]]&lt;50000, "0-50K",Table4[[#This Row],[Salary]]&lt;100000, "50K-1L",Table4[[#This Row],[Salary]]&lt;150000, "1L-1.5L",Table4[[#This Row],[Salary]]&lt;200000, "1.5-2L",Table4[[#This Row],[Salary]]&gt;=200000, "2L+")</f>
        <v>50K-1L</v>
      </c>
    </row>
    <row r="10" spans="1:11" x14ac:dyDescent="0.3">
      <c r="A10">
        <v>8</v>
      </c>
      <c r="B10">
        <v>7462</v>
      </c>
      <c r="C10">
        <v>34</v>
      </c>
      <c r="D10" s="5" t="str" cm="1">
        <f t="array" ref="D10">_xlfn.IFS(C10&lt;30, "20-29",C10&lt;40, "30-39",C10&lt;50, "40-49",C10&lt;60, "50-59",Table4[[#This Row],[Age]]&gt;=60, "60+"  )</f>
        <v>30-39</v>
      </c>
      <c r="E10" t="s">
        <v>8</v>
      </c>
      <c r="F10" t="b">
        <v>0</v>
      </c>
      <c r="G10" s="1">
        <v>44218</v>
      </c>
      <c r="H10">
        <v>15</v>
      </c>
      <c r="I10" s="5" t="str" cm="1">
        <f t="array" ref="I10">_xlfn.IFS(Table4[[#This Row],[Experience]]&lt;15, "7-15 YEARS",Table4[[#This Row],[Experience]]&lt;23, "15-23  YEARS",Table4[[#This Row],[Experience]]&lt;30, "23-30 YEARS",Table4[[#This Row],[Experience]]&gt;=30, "30+ YEARS")</f>
        <v>15-23  YEARS</v>
      </c>
      <c r="J10">
        <v>119128</v>
      </c>
      <c r="K10" s="5" t="str" cm="1">
        <f t="array" ref="K10">_xlfn.IFS(Table4[[#This Row],[Salary]]&lt;50000, "0-50K",Table4[[#This Row],[Salary]]&lt;100000, "50K-1L",Table4[[#This Row],[Salary]]&lt;150000, "1L-1.5L",Table4[[#This Row],[Salary]]&lt;200000, "1.5-2L",Table4[[#This Row],[Salary]]&gt;=200000, "2L+")</f>
        <v>1L-1.5L</v>
      </c>
    </row>
    <row r="11" spans="1:11" x14ac:dyDescent="0.3">
      <c r="A11">
        <v>9</v>
      </c>
      <c r="B11">
        <v>7276</v>
      </c>
      <c r="C11">
        <v>23</v>
      </c>
      <c r="D11" s="5" t="str" cm="1">
        <f t="array" ref="D11">_xlfn.IFS(C11&lt;30, "20-29",C11&lt;40, "30-39",C11&lt;50, "40-49",C11&lt;60, "50-59",Table4[[#This Row],[Age]]&gt;=60, "60+"  )</f>
        <v>20-29</v>
      </c>
      <c r="E11" t="s">
        <v>8</v>
      </c>
      <c r="F11" t="b">
        <v>0</v>
      </c>
      <c r="G11" s="1">
        <v>41915</v>
      </c>
      <c r="H11">
        <v>11</v>
      </c>
      <c r="I11" s="5" t="str" cm="1">
        <f t="array" ref="I11">_xlfn.IFS(Table4[[#This Row],[Experience]]&lt;15, "7-15 YEARS",Table4[[#This Row],[Experience]]&lt;23, "15-23  YEARS",Table4[[#This Row],[Experience]]&lt;30, "23-30 YEARS",Table4[[#This Row],[Experience]]&gt;=30, "30+ YEARS")</f>
        <v>7-15 YEARS</v>
      </c>
      <c r="J11">
        <v>83249</v>
      </c>
      <c r="K11" s="5" t="str" cm="1">
        <f t="array" ref="K11">_xlfn.IFS(Table4[[#This Row],[Salary]]&lt;50000, "0-50K",Table4[[#This Row],[Salary]]&lt;100000, "50K-1L",Table4[[#This Row],[Salary]]&lt;150000, "1L-1.5L",Table4[[#This Row],[Salary]]&lt;200000, "1.5-2L",Table4[[#This Row],[Salary]]&gt;=200000, "2L+")</f>
        <v>50K-1L</v>
      </c>
    </row>
    <row r="12" spans="1:11" x14ac:dyDescent="0.3">
      <c r="A12">
        <v>10</v>
      </c>
      <c r="B12">
        <v>6621</v>
      </c>
      <c r="C12">
        <v>51</v>
      </c>
      <c r="D12" s="5" t="str" cm="1">
        <f t="array" ref="D12">_xlfn.IFS(C12&lt;30, "20-29",C12&lt;40, "30-39",C12&lt;50, "40-49",C12&lt;60, "50-59",Table4[[#This Row],[Age]]&gt;=60, "60+"  )</f>
        <v>50-59</v>
      </c>
      <c r="E12" t="s">
        <v>12</v>
      </c>
      <c r="F12" t="b">
        <v>1</v>
      </c>
      <c r="G12" s="1">
        <v>27100</v>
      </c>
      <c r="H12">
        <v>26</v>
      </c>
      <c r="I12" s="5" t="str" cm="1">
        <f t="array" ref="I12">_xlfn.IFS(Table4[[#This Row],[Experience]]&lt;15, "7-15 YEARS",Table4[[#This Row],[Experience]]&lt;23, "15-23  YEARS",Table4[[#This Row],[Experience]]&lt;30, "23-30 YEARS",Table4[[#This Row],[Experience]]&gt;=30, "30+ YEARS")</f>
        <v>23-30 YEARS</v>
      </c>
      <c r="J12">
        <v>201259</v>
      </c>
      <c r="K12" s="5" t="str" cm="1">
        <f t="array" ref="K12">_xlfn.IFS(Table4[[#This Row],[Salary]]&lt;50000, "0-50K",Table4[[#This Row],[Salary]]&lt;100000, "50K-1L",Table4[[#This Row],[Salary]]&lt;150000, "1L-1.5L",Table4[[#This Row],[Salary]]&lt;200000, "1.5-2L",Table4[[#This Row],[Salary]]&gt;=200000, "2L+")</f>
        <v>2L+</v>
      </c>
    </row>
    <row r="13" spans="1:11" x14ac:dyDescent="0.3">
      <c r="A13">
        <v>11</v>
      </c>
      <c r="B13">
        <v>7461</v>
      </c>
      <c r="C13">
        <v>43</v>
      </c>
      <c r="D13" s="5" t="str" cm="1">
        <f t="array" ref="D13">_xlfn.IFS(C13&lt;30, "20-29",C13&lt;40, "30-39",C13&lt;50, "40-49",C13&lt;60, "50-59",Table4[[#This Row],[Age]]&gt;=60, "60+"  )</f>
        <v>40-49</v>
      </c>
      <c r="E13" t="s">
        <v>12</v>
      </c>
      <c r="F13" t="b">
        <v>1</v>
      </c>
      <c r="G13" s="1">
        <v>33397</v>
      </c>
      <c r="H13">
        <v>17</v>
      </c>
      <c r="I13" s="5" t="str" cm="1">
        <f t="array" ref="I13">_xlfn.IFS(Table4[[#This Row],[Experience]]&lt;15, "7-15 YEARS",Table4[[#This Row],[Experience]]&lt;23, "15-23  YEARS",Table4[[#This Row],[Experience]]&lt;30, "23-30 YEARS",Table4[[#This Row],[Experience]]&gt;=30, "30+ YEARS")</f>
        <v>15-23  YEARS</v>
      </c>
      <c r="J13">
        <v>144477</v>
      </c>
      <c r="K13" s="5" t="str" cm="1">
        <f t="array" ref="K13">_xlfn.IFS(Table4[[#This Row],[Salary]]&lt;50000, "0-50K",Table4[[#This Row],[Salary]]&lt;100000, "50K-1L",Table4[[#This Row],[Salary]]&lt;150000, "1L-1.5L",Table4[[#This Row],[Salary]]&lt;200000, "1.5-2L",Table4[[#This Row],[Salary]]&gt;=200000, "2L+")</f>
        <v>1L-1.5L</v>
      </c>
    </row>
    <row r="14" spans="1:11" x14ac:dyDescent="0.3">
      <c r="A14">
        <v>12</v>
      </c>
      <c r="B14">
        <v>4181</v>
      </c>
      <c r="C14">
        <v>33</v>
      </c>
      <c r="D14" s="5" t="str" cm="1">
        <f t="array" ref="D14">_xlfn.IFS(C14&lt;30, "20-29",C14&lt;40, "30-39",C14&lt;50, "40-49",C14&lt;60, "50-59",Table4[[#This Row],[Age]]&gt;=60, "60+"  )</f>
        <v>30-39</v>
      </c>
      <c r="E14" t="s">
        <v>8</v>
      </c>
      <c r="F14" t="b">
        <v>1</v>
      </c>
      <c r="G14" s="1">
        <v>42116</v>
      </c>
      <c r="H14">
        <v>18</v>
      </c>
      <c r="I14" s="5" t="str" cm="1">
        <f t="array" ref="I14">_xlfn.IFS(Table4[[#This Row],[Experience]]&lt;15, "7-15 YEARS",Table4[[#This Row],[Experience]]&lt;23, "15-23  YEARS",Table4[[#This Row],[Experience]]&lt;30, "23-30 YEARS",Table4[[#This Row],[Experience]]&gt;=30, "30+ YEARS")</f>
        <v>15-23  YEARS</v>
      </c>
      <c r="J14">
        <v>148126</v>
      </c>
      <c r="K14" s="5" t="str" cm="1">
        <f t="array" ref="K14">_xlfn.IFS(Table4[[#This Row],[Salary]]&lt;50000, "0-50K",Table4[[#This Row],[Salary]]&lt;100000, "50K-1L",Table4[[#This Row],[Salary]]&lt;150000, "1L-1.5L",Table4[[#This Row],[Salary]]&lt;200000, "1.5-2L",Table4[[#This Row],[Salary]]&gt;=200000, "2L+")</f>
        <v>1L-1.5L</v>
      </c>
    </row>
    <row r="15" spans="1:11" x14ac:dyDescent="0.3">
      <c r="A15">
        <v>13</v>
      </c>
      <c r="B15">
        <v>9770</v>
      </c>
      <c r="C15">
        <v>64</v>
      </c>
      <c r="D15" s="5" t="str" cm="1">
        <f t="array" ref="D15">_xlfn.IFS(C15&lt;30, "20-29",C15&lt;40, "30-39",C15&lt;50, "40-49",C15&lt;60, "50-59",Table4[[#This Row],[Age]]&gt;=60, "60+"  )</f>
        <v>60+</v>
      </c>
      <c r="E15" t="s">
        <v>10</v>
      </c>
      <c r="F15" t="b">
        <v>0</v>
      </c>
      <c r="G15" s="1">
        <v>30901</v>
      </c>
      <c r="H15">
        <v>29</v>
      </c>
      <c r="I15" s="5" t="str" cm="1">
        <f t="array" ref="I15">_xlfn.IFS(Table4[[#This Row],[Experience]]&lt;15, "7-15 YEARS",Table4[[#This Row],[Experience]]&lt;23, "15-23  YEARS",Table4[[#This Row],[Experience]]&lt;30, "23-30 YEARS",Table4[[#This Row],[Experience]]&gt;=30, "30+ YEARS")</f>
        <v>23-30 YEARS</v>
      </c>
      <c r="J15">
        <v>237357</v>
      </c>
      <c r="K15" s="5" t="str" cm="1">
        <f t="array" ref="K15">_xlfn.IFS(Table4[[#This Row],[Salary]]&lt;50000, "0-50K",Table4[[#This Row],[Salary]]&lt;100000, "50K-1L",Table4[[#This Row],[Salary]]&lt;150000, "1L-1.5L",Table4[[#This Row],[Salary]]&lt;200000, "1.5-2L",Table4[[#This Row],[Salary]]&gt;=200000, "2L+")</f>
        <v>2L+</v>
      </c>
    </row>
    <row r="16" spans="1:11" x14ac:dyDescent="0.3">
      <c r="A16">
        <v>14</v>
      </c>
      <c r="B16">
        <v>9138</v>
      </c>
      <c r="C16">
        <v>41</v>
      </c>
      <c r="D16" s="5" t="str" cm="1">
        <f t="array" ref="D16">_xlfn.IFS(C16&lt;30, "20-29",C16&lt;40, "30-39",C16&lt;50, "40-49",C16&lt;60, "50-59",Table4[[#This Row],[Age]]&gt;=60, "60+"  )</f>
        <v>40-49</v>
      </c>
      <c r="E16" t="s">
        <v>8</v>
      </c>
      <c r="F16" t="b">
        <v>1</v>
      </c>
      <c r="G16" s="1">
        <v>38308</v>
      </c>
      <c r="H16">
        <v>19</v>
      </c>
      <c r="I16" s="5" t="str" cm="1">
        <f t="array" ref="I16">_xlfn.IFS(Table4[[#This Row],[Experience]]&lt;15, "7-15 YEARS",Table4[[#This Row],[Experience]]&lt;23, "15-23  YEARS",Table4[[#This Row],[Experience]]&lt;30, "23-30 YEARS",Table4[[#This Row],[Experience]]&gt;=30, "30+ YEARS")</f>
        <v>15-23  YEARS</v>
      </c>
      <c r="J16">
        <v>158446</v>
      </c>
      <c r="K16" s="5" t="str" cm="1">
        <f t="array" ref="K16">_xlfn.IFS(Table4[[#This Row],[Salary]]&lt;50000, "0-50K",Table4[[#This Row],[Salary]]&lt;100000, "50K-1L",Table4[[#This Row],[Salary]]&lt;150000, "1L-1.5L",Table4[[#This Row],[Salary]]&lt;200000, "1.5-2L",Table4[[#This Row],[Salary]]&gt;=200000, "2L+")</f>
        <v>1.5-2L</v>
      </c>
    </row>
    <row r="17" spans="1:11" x14ac:dyDescent="0.3">
      <c r="A17">
        <v>15</v>
      </c>
      <c r="B17">
        <v>7182</v>
      </c>
      <c r="C17">
        <v>30</v>
      </c>
      <c r="D17" s="5" t="str" cm="1">
        <f t="array" ref="D17">_xlfn.IFS(C17&lt;30, "20-29",C17&lt;40, "30-39",C17&lt;50, "40-49",C17&lt;60, "50-59",Table4[[#This Row],[Age]]&gt;=60, "60+"  )</f>
        <v>30-39</v>
      </c>
      <c r="E17" t="s">
        <v>10</v>
      </c>
      <c r="F17" t="b">
        <v>1</v>
      </c>
      <c r="G17" s="1">
        <v>30259</v>
      </c>
      <c r="H17">
        <v>15</v>
      </c>
      <c r="I17" s="5" t="str" cm="1">
        <f t="array" ref="I17">_xlfn.IFS(Table4[[#This Row],[Experience]]&lt;15, "7-15 YEARS",Table4[[#This Row],[Experience]]&lt;23, "15-23  YEARS",Table4[[#This Row],[Experience]]&lt;30, "23-30 YEARS",Table4[[#This Row],[Experience]]&gt;=30, "30+ YEARS")</f>
        <v>15-23  YEARS</v>
      </c>
      <c r="J17">
        <v>124601</v>
      </c>
      <c r="K17" s="5" t="str" cm="1">
        <f t="array" ref="K17">_xlfn.IFS(Table4[[#This Row],[Salary]]&lt;50000, "0-50K",Table4[[#This Row],[Salary]]&lt;100000, "50K-1L",Table4[[#This Row],[Salary]]&lt;150000, "1L-1.5L",Table4[[#This Row],[Salary]]&lt;200000, "1.5-2L",Table4[[#This Row],[Salary]]&gt;=200000, "2L+")</f>
        <v>1L-1.5L</v>
      </c>
    </row>
    <row r="18" spans="1:11" x14ac:dyDescent="0.3">
      <c r="A18">
        <v>16</v>
      </c>
      <c r="B18">
        <v>9901</v>
      </c>
      <c r="C18">
        <v>60</v>
      </c>
      <c r="D18" s="5" t="str" cm="1">
        <f t="array" ref="D18">_xlfn.IFS(C18&lt;30, "20-29",C18&lt;40, "30-39",C18&lt;50, "40-49",C18&lt;60, "50-59",Table4[[#This Row],[Age]]&gt;=60, "60+"  )</f>
        <v>60+</v>
      </c>
      <c r="E18" t="s">
        <v>12</v>
      </c>
      <c r="F18" t="b">
        <v>1</v>
      </c>
      <c r="G18" s="1">
        <v>36972</v>
      </c>
      <c r="H18">
        <v>27</v>
      </c>
      <c r="I18" s="5" t="str" cm="1">
        <f t="array" ref="I18">_xlfn.IFS(Table4[[#This Row],[Experience]]&lt;15, "7-15 YEARS",Table4[[#This Row],[Experience]]&lt;23, "15-23  YEARS",Table4[[#This Row],[Experience]]&lt;30, "23-30 YEARS",Table4[[#This Row],[Experience]]&gt;=30, "30+ YEARS")</f>
        <v>23-30 YEARS</v>
      </c>
      <c r="J18">
        <v>209673</v>
      </c>
      <c r="K18" s="5" t="str" cm="1">
        <f t="array" ref="K18">_xlfn.IFS(Table4[[#This Row],[Salary]]&lt;50000, "0-50K",Table4[[#This Row],[Salary]]&lt;100000, "50K-1L",Table4[[#This Row],[Salary]]&lt;150000, "1L-1.5L",Table4[[#This Row],[Salary]]&lt;200000, "1.5-2L",Table4[[#This Row],[Salary]]&gt;=200000, "2L+")</f>
        <v>2L+</v>
      </c>
    </row>
    <row r="19" spans="1:11" x14ac:dyDescent="0.3">
      <c r="A19">
        <v>17</v>
      </c>
      <c r="B19">
        <v>9684</v>
      </c>
      <c r="C19">
        <v>25</v>
      </c>
      <c r="D19" s="5" t="str" cm="1">
        <f t="array" ref="D19">_xlfn.IFS(C19&lt;30, "20-29",C19&lt;40, "30-39",C19&lt;50, "40-49",C19&lt;60, "50-59",Table4[[#This Row],[Age]]&gt;=60, "60+"  )</f>
        <v>20-29</v>
      </c>
      <c r="E19" t="s">
        <v>8</v>
      </c>
      <c r="F19" t="b">
        <v>0</v>
      </c>
      <c r="G19" s="1">
        <v>45253</v>
      </c>
      <c r="H19">
        <v>11</v>
      </c>
      <c r="I19" s="5" t="str" cm="1">
        <f t="array" ref="I19">_xlfn.IFS(Table4[[#This Row],[Experience]]&lt;15, "7-15 YEARS",Table4[[#This Row],[Experience]]&lt;23, "15-23  YEARS",Table4[[#This Row],[Experience]]&lt;30, "23-30 YEARS",Table4[[#This Row],[Experience]]&gt;=30, "30+ YEARS")</f>
        <v>7-15 YEARS</v>
      </c>
      <c r="J19">
        <v>88325</v>
      </c>
      <c r="K19" s="5" t="str" cm="1">
        <f t="array" ref="K19">_xlfn.IFS(Table4[[#This Row],[Salary]]&lt;50000, "0-50K",Table4[[#This Row],[Salary]]&lt;100000, "50K-1L",Table4[[#This Row],[Salary]]&lt;150000, "1L-1.5L",Table4[[#This Row],[Salary]]&lt;200000, "1.5-2L",Table4[[#This Row],[Salary]]&gt;=200000, "2L+")</f>
        <v>50K-1L</v>
      </c>
    </row>
    <row r="20" spans="1:11" x14ac:dyDescent="0.3">
      <c r="A20">
        <v>18</v>
      </c>
      <c r="B20">
        <v>6645</v>
      </c>
      <c r="C20">
        <v>30</v>
      </c>
      <c r="D20" s="5" t="str" cm="1">
        <f t="array" ref="D20">_xlfn.IFS(C20&lt;30, "20-29",C20&lt;40, "30-39",C20&lt;50, "40-49",C20&lt;60, "50-59",Table4[[#This Row],[Age]]&gt;=60, "60+"  )</f>
        <v>30-39</v>
      </c>
      <c r="E20" t="s">
        <v>10</v>
      </c>
      <c r="F20" t="b">
        <v>0</v>
      </c>
      <c r="G20" s="1">
        <v>37378</v>
      </c>
      <c r="H20">
        <v>14</v>
      </c>
      <c r="I20" s="5" t="str" cm="1">
        <f t="array" ref="I20">_xlfn.IFS(Table4[[#This Row],[Experience]]&lt;15, "7-15 YEARS",Table4[[#This Row],[Experience]]&lt;23, "15-23  YEARS",Table4[[#This Row],[Experience]]&lt;30, "23-30 YEARS",Table4[[#This Row],[Experience]]&gt;=30, "30+ YEARS")</f>
        <v>7-15 YEARS</v>
      </c>
      <c r="J20">
        <v>117761</v>
      </c>
      <c r="K20" s="5" t="str" cm="1">
        <f t="array" ref="K20">_xlfn.IFS(Table4[[#This Row],[Salary]]&lt;50000, "0-50K",Table4[[#This Row],[Salary]]&lt;100000, "50K-1L",Table4[[#This Row],[Salary]]&lt;150000, "1L-1.5L",Table4[[#This Row],[Salary]]&lt;200000, "1.5-2L",Table4[[#This Row],[Salary]]&gt;=200000, "2L+")</f>
        <v>1L-1.5L</v>
      </c>
    </row>
    <row r="21" spans="1:11" x14ac:dyDescent="0.3">
      <c r="A21">
        <v>19</v>
      </c>
      <c r="B21">
        <v>4049</v>
      </c>
      <c r="C21">
        <v>45</v>
      </c>
      <c r="D21" s="5" t="str" cm="1">
        <f t="array" ref="D21">_xlfn.IFS(C21&lt;30, "20-29",C21&lt;40, "30-39",C21&lt;50, "40-49",C21&lt;60, "50-59",Table4[[#This Row],[Age]]&gt;=60, "60+"  )</f>
        <v>40-49</v>
      </c>
      <c r="E21" t="s">
        <v>12</v>
      </c>
      <c r="F21" t="b">
        <v>1</v>
      </c>
      <c r="G21" s="1">
        <v>33886</v>
      </c>
      <c r="H21">
        <v>24</v>
      </c>
      <c r="I21" s="5" t="str" cm="1">
        <f t="array" ref="I21">_xlfn.IFS(Table4[[#This Row],[Experience]]&lt;15, "7-15 YEARS",Table4[[#This Row],[Experience]]&lt;23, "15-23  YEARS",Table4[[#This Row],[Experience]]&lt;30, "23-30 YEARS",Table4[[#This Row],[Experience]]&gt;=30, "30+ YEARS")</f>
        <v>23-30 YEARS</v>
      </c>
      <c r="J21">
        <v>193695</v>
      </c>
      <c r="K21" s="5" t="str" cm="1">
        <f t="array" ref="K21">_xlfn.IFS(Table4[[#This Row],[Salary]]&lt;50000, "0-50K",Table4[[#This Row],[Salary]]&lt;100000, "50K-1L",Table4[[#This Row],[Salary]]&lt;150000, "1L-1.5L",Table4[[#This Row],[Salary]]&lt;200000, "1.5-2L",Table4[[#This Row],[Salary]]&gt;=200000, "2L+")</f>
        <v>1.5-2L</v>
      </c>
    </row>
    <row r="22" spans="1:11" x14ac:dyDescent="0.3">
      <c r="A22">
        <v>20</v>
      </c>
      <c r="B22">
        <v>7857</v>
      </c>
      <c r="C22">
        <v>56</v>
      </c>
      <c r="D22" s="5" t="str" cm="1">
        <f t="array" ref="D22">_xlfn.IFS(C22&lt;30, "20-29",C22&lt;40, "30-39",C22&lt;50, "40-49",C22&lt;60, "50-59",Table4[[#This Row],[Age]]&gt;=60, "60+"  )</f>
        <v>50-59</v>
      </c>
      <c r="E22" t="s">
        <v>8</v>
      </c>
      <c r="F22" t="b">
        <v>1</v>
      </c>
      <c r="G22" s="1">
        <v>26797</v>
      </c>
      <c r="H22">
        <v>27</v>
      </c>
      <c r="I22" s="5" t="str" cm="1">
        <f t="array" ref="I22">_xlfn.IFS(Table4[[#This Row],[Experience]]&lt;15, "7-15 YEARS",Table4[[#This Row],[Experience]]&lt;23, "15-23  YEARS",Table4[[#This Row],[Experience]]&lt;30, "23-30 YEARS",Table4[[#This Row],[Experience]]&gt;=30, "30+ YEARS")</f>
        <v>23-30 YEARS</v>
      </c>
      <c r="J22">
        <v>223718</v>
      </c>
      <c r="K22" s="5" t="str" cm="1">
        <f t="array" ref="K22">_xlfn.IFS(Table4[[#This Row],[Salary]]&lt;50000, "0-50K",Table4[[#This Row],[Salary]]&lt;100000, "50K-1L",Table4[[#This Row],[Salary]]&lt;150000, "1L-1.5L",Table4[[#This Row],[Salary]]&lt;200000, "1.5-2L",Table4[[#This Row],[Salary]]&gt;=200000, "2L+")</f>
        <v>2L+</v>
      </c>
    </row>
    <row r="23" spans="1:11" x14ac:dyDescent="0.3">
      <c r="A23">
        <v>21</v>
      </c>
      <c r="B23">
        <v>3757</v>
      </c>
      <c r="C23">
        <v>32</v>
      </c>
      <c r="D23" s="5" t="str" cm="1">
        <f t="array" ref="D23">_xlfn.IFS(C23&lt;30, "20-29",C23&lt;40, "30-39",C23&lt;50, "40-49",C23&lt;60, "50-59",Table4[[#This Row],[Age]]&gt;=60, "60+"  )</f>
        <v>30-39</v>
      </c>
      <c r="E23" t="s">
        <v>8</v>
      </c>
      <c r="F23" t="b">
        <v>1</v>
      </c>
      <c r="G23" s="1">
        <v>40117</v>
      </c>
      <c r="H23">
        <v>16</v>
      </c>
      <c r="I23" s="5" t="str" cm="1">
        <f t="array" ref="I23">_xlfn.IFS(Table4[[#This Row],[Experience]]&lt;15, "7-15 YEARS",Table4[[#This Row],[Experience]]&lt;23, "15-23  YEARS",Table4[[#This Row],[Experience]]&lt;30, "23-30 YEARS",Table4[[#This Row],[Experience]]&gt;=30, "30+ YEARS")</f>
        <v>15-23  YEARS</v>
      </c>
      <c r="J23">
        <v>136877</v>
      </c>
      <c r="K23" s="5" t="str" cm="1">
        <f t="array" ref="K23">_xlfn.IFS(Table4[[#This Row],[Salary]]&lt;50000, "0-50K",Table4[[#This Row],[Salary]]&lt;100000, "50K-1L",Table4[[#This Row],[Salary]]&lt;150000, "1L-1.5L",Table4[[#This Row],[Salary]]&lt;200000, "1.5-2L",Table4[[#This Row],[Salary]]&gt;=200000, "2L+")</f>
        <v>1L-1.5L</v>
      </c>
    </row>
    <row r="24" spans="1:11" x14ac:dyDescent="0.3">
      <c r="A24">
        <v>22</v>
      </c>
      <c r="B24">
        <v>9062</v>
      </c>
      <c r="C24">
        <v>49</v>
      </c>
      <c r="D24" s="5" t="str" cm="1">
        <f t="array" ref="D24">_xlfn.IFS(C24&lt;30, "20-29",C24&lt;40, "30-39",C24&lt;50, "40-49",C24&lt;60, "50-59",Table4[[#This Row],[Age]]&gt;=60, "60+"  )</f>
        <v>40-49</v>
      </c>
      <c r="E24" t="s">
        <v>9</v>
      </c>
      <c r="F24" t="b">
        <v>1</v>
      </c>
      <c r="G24" s="1">
        <v>41484</v>
      </c>
      <c r="H24">
        <v>24</v>
      </c>
      <c r="I24" s="5" t="str" cm="1">
        <f t="array" ref="I24">_xlfn.IFS(Table4[[#This Row],[Experience]]&lt;15, "7-15 YEARS",Table4[[#This Row],[Experience]]&lt;23, "15-23  YEARS",Table4[[#This Row],[Experience]]&lt;30, "23-30 YEARS",Table4[[#This Row],[Experience]]&gt;=30, "30+ YEARS")</f>
        <v>23-30 YEARS</v>
      </c>
      <c r="J24">
        <v>201355</v>
      </c>
      <c r="K24" s="5" t="str" cm="1">
        <f t="array" ref="K24">_xlfn.IFS(Table4[[#This Row],[Salary]]&lt;50000, "0-50K",Table4[[#This Row],[Salary]]&lt;100000, "50K-1L",Table4[[#This Row],[Salary]]&lt;150000, "1L-1.5L",Table4[[#This Row],[Salary]]&lt;200000, "1.5-2L",Table4[[#This Row],[Salary]]&gt;=200000, "2L+")</f>
        <v>2L+</v>
      </c>
    </row>
    <row r="25" spans="1:11" x14ac:dyDescent="0.3">
      <c r="A25">
        <v>23</v>
      </c>
      <c r="B25">
        <v>4459</v>
      </c>
      <c r="C25">
        <v>52</v>
      </c>
      <c r="D25" s="5" t="str" cm="1">
        <f t="array" ref="D25">_xlfn.IFS(C25&lt;30, "20-29",C25&lt;40, "30-39",C25&lt;50, "40-49",C25&lt;60, "50-59",Table4[[#This Row],[Age]]&gt;=60, "60+"  )</f>
        <v>50-59</v>
      </c>
      <c r="E25" t="s">
        <v>11</v>
      </c>
      <c r="F25" t="b">
        <v>0</v>
      </c>
      <c r="G25" s="1">
        <v>41802</v>
      </c>
      <c r="H25">
        <v>25</v>
      </c>
      <c r="I25" s="5" t="str" cm="1">
        <f t="array" ref="I25">_xlfn.IFS(Table4[[#This Row],[Experience]]&lt;15, "7-15 YEARS",Table4[[#This Row],[Experience]]&lt;23, "15-23  YEARS",Table4[[#This Row],[Experience]]&lt;30, "23-30 YEARS",Table4[[#This Row],[Experience]]&gt;=30, "30+ YEARS")</f>
        <v>23-30 YEARS</v>
      </c>
      <c r="J25">
        <v>197155</v>
      </c>
      <c r="K25" s="5" t="str" cm="1">
        <f t="array" ref="K25">_xlfn.IFS(Table4[[#This Row],[Salary]]&lt;50000, "0-50K",Table4[[#This Row],[Salary]]&lt;100000, "50K-1L",Table4[[#This Row],[Salary]]&lt;150000, "1L-1.5L",Table4[[#This Row],[Salary]]&lt;200000, "1.5-2L",Table4[[#This Row],[Salary]]&gt;=200000, "2L+")</f>
        <v>1.5-2L</v>
      </c>
    </row>
    <row r="26" spans="1:11" x14ac:dyDescent="0.3">
      <c r="A26">
        <v>24</v>
      </c>
      <c r="B26">
        <v>2444</v>
      </c>
      <c r="C26">
        <v>43</v>
      </c>
      <c r="D26" s="5" t="str" cm="1">
        <f t="array" ref="D26">_xlfn.IFS(C26&lt;30, "20-29",C26&lt;40, "30-39",C26&lt;50, "40-49",C26&lt;60, "50-59",Table4[[#This Row],[Age]]&gt;=60, "60+"  )</f>
        <v>40-49</v>
      </c>
      <c r="E26" t="s">
        <v>12</v>
      </c>
      <c r="F26" t="b">
        <v>1</v>
      </c>
      <c r="G26" s="1">
        <v>31091</v>
      </c>
      <c r="H26">
        <v>22</v>
      </c>
      <c r="I26" s="5" t="str" cm="1">
        <f t="array" ref="I26">_xlfn.IFS(Table4[[#This Row],[Experience]]&lt;15, "7-15 YEARS",Table4[[#This Row],[Experience]]&lt;23, "15-23  YEARS",Table4[[#This Row],[Experience]]&lt;30, "23-30 YEARS",Table4[[#This Row],[Experience]]&gt;=30, "30+ YEARS")</f>
        <v>15-23  YEARS</v>
      </c>
      <c r="J26">
        <v>181254</v>
      </c>
      <c r="K26" s="5" t="str" cm="1">
        <f t="array" ref="K26">_xlfn.IFS(Table4[[#This Row],[Salary]]&lt;50000, "0-50K",Table4[[#This Row],[Salary]]&lt;100000, "50K-1L",Table4[[#This Row],[Salary]]&lt;150000, "1L-1.5L",Table4[[#This Row],[Salary]]&lt;200000, "1.5-2L",Table4[[#This Row],[Salary]]&gt;=200000, "2L+")</f>
        <v>1.5-2L</v>
      </c>
    </row>
    <row r="27" spans="1:11" x14ac:dyDescent="0.3">
      <c r="A27">
        <v>25</v>
      </c>
      <c r="B27">
        <v>3005</v>
      </c>
      <c r="C27">
        <v>56</v>
      </c>
      <c r="D27" s="5" t="str" cm="1">
        <f t="array" ref="D27">_xlfn.IFS(C27&lt;30, "20-29",C27&lt;40, "30-39",C27&lt;50, "40-49",C27&lt;60, "50-59",Table4[[#This Row],[Age]]&gt;=60, "60+"  )</f>
        <v>50-59</v>
      </c>
      <c r="E27" t="s">
        <v>9</v>
      </c>
      <c r="F27" t="b">
        <v>1</v>
      </c>
      <c r="G27" s="1">
        <v>39885</v>
      </c>
      <c r="H27">
        <v>24</v>
      </c>
      <c r="I27" s="5" t="str" cm="1">
        <f t="array" ref="I27">_xlfn.IFS(Table4[[#This Row],[Experience]]&lt;15, "7-15 YEARS",Table4[[#This Row],[Experience]]&lt;23, "15-23  YEARS",Table4[[#This Row],[Experience]]&lt;30, "23-30 YEARS",Table4[[#This Row],[Experience]]&gt;=30, "30+ YEARS")</f>
        <v>23-30 YEARS</v>
      </c>
      <c r="J27">
        <v>197009</v>
      </c>
      <c r="K27" s="5" t="str" cm="1">
        <f t="array" ref="K27">_xlfn.IFS(Table4[[#This Row],[Salary]]&lt;50000, "0-50K",Table4[[#This Row],[Salary]]&lt;100000, "50K-1L",Table4[[#This Row],[Salary]]&lt;150000, "1L-1.5L",Table4[[#This Row],[Salary]]&lt;200000, "1.5-2L",Table4[[#This Row],[Salary]]&gt;=200000, "2L+")</f>
        <v>1.5-2L</v>
      </c>
    </row>
    <row r="28" spans="1:11" x14ac:dyDescent="0.3">
      <c r="A28">
        <v>26</v>
      </c>
      <c r="B28">
        <v>6797</v>
      </c>
      <c r="C28">
        <v>47</v>
      </c>
      <c r="D28" s="5" t="str" cm="1">
        <f t="array" ref="D28">_xlfn.IFS(C28&lt;30, "20-29",C28&lt;40, "30-39",C28&lt;50, "40-49",C28&lt;60, "50-59",Table4[[#This Row],[Age]]&gt;=60, "60+"  )</f>
        <v>40-49</v>
      </c>
      <c r="E28" t="s">
        <v>12</v>
      </c>
      <c r="F28" t="b">
        <v>1</v>
      </c>
      <c r="G28" s="1">
        <v>35144</v>
      </c>
      <c r="H28">
        <v>26</v>
      </c>
      <c r="I28" s="5" t="str" cm="1">
        <f t="array" ref="I28">_xlfn.IFS(Table4[[#This Row],[Experience]]&lt;15, "7-15 YEARS",Table4[[#This Row],[Experience]]&lt;23, "15-23  YEARS",Table4[[#This Row],[Experience]]&lt;30, "23-30 YEARS",Table4[[#This Row],[Experience]]&gt;=30, "30+ YEARS")</f>
        <v>23-30 YEARS</v>
      </c>
      <c r="J28">
        <v>201648</v>
      </c>
      <c r="K28" s="5" t="str" cm="1">
        <f t="array" ref="K28">_xlfn.IFS(Table4[[#This Row],[Salary]]&lt;50000, "0-50K",Table4[[#This Row],[Salary]]&lt;100000, "50K-1L",Table4[[#This Row],[Salary]]&lt;150000, "1L-1.5L",Table4[[#This Row],[Salary]]&lt;200000, "1.5-2L",Table4[[#This Row],[Salary]]&gt;=200000, "2L+")</f>
        <v>2L+</v>
      </c>
    </row>
    <row r="29" spans="1:11" x14ac:dyDescent="0.3">
      <c r="A29">
        <v>27</v>
      </c>
      <c r="B29">
        <v>5040</v>
      </c>
      <c r="C29">
        <v>37</v>
      </c>
      <c r="D29" s="5" t="str" cm="1">
        <f t="array" ref="D29">_xlfn.IFS(C29&lt;30, "20-29",C29&lt;40, "30-39",C29&lt;50, "40-49",C29&lt;60, "50-59",Table4[[#This Row],[Age]]&gt;=60, "60+"  )</f>
        <v>30-39</v>
      </c>
      <c r="E29" t="s">
        <v>11</v>
      </c>
      <c r="F29" t="b">
        <v>1</v>
      </c>
      <c r="G29" s="1">
        <v>26342</v>
      </c>
      <c r="H29">
        <v>22</v>
      </c>
      <c r="I29" s="5" t="str" cm="1">
        <f t="array" ref="I29">_xlfn.IFS(Table4[[#This Row],[Experience]]&lt;15, "7-15 YEARS",Table4[[#This Row],[Experience]]&lt;23, "15-23  YEARS",Table4[[#This Row],[Experience]]&lt;30, "23-30 YEARS",Table4[[#This Row],[Experience]]&gt;=30, "30+ YEARS")</f>
        <v>15-23  YEARS</v>
      </c>
      <c r="J29">
        <v>186028</v>
      </c>
      <c r="K29" s="5" t="str" cm="1">
        <f t="array" ref="K29">_xlfn.IFS(Table4[[#This Row],[Salary]]&lt;50000, "0-50K",Table4[[#This Row],[Salary]]&lt;100000, "50K-1L",Table4[[#This Row],[Salary]]&lt;150000, "1L-1.5L",Table4[[#This Row],[Salary]]&lt;200000, "1.5-2L",Table4[[#This Row],[Salary]]&gt;=200000, "2L+")</f>
        <v>1.5-2L</v>
      </c>
    </row>
    <row r="30" spans="1:11" x14ac:dyDescent="0.3">
      <c r="A30">
        <v>28</v>
      </c>
      <c r="B30">
        <v>9477</v>
      </c>
      <c r="C30">
        <v>54</v>
      </c>
      <c r="D30" s="5" t="str" cm="1">
        <f t="array" ref="D30">_xlfn.IFS(C30&lt;30, "20-29",C30&lt;40, "30-39",C30&lt;50, "40-49",C30&lt;60, "50-59",Table4[[#This Row],[Age]]&gt;=60, "60+"  )</f>
        <v>50-59</v>
      </c>
      <c r="E30" t="s">
        <v>12</v>
      </c>
      <c r="F30" t="b">
        <v>1</v>
      </c>
      <c r="G30" s="1">
        <v>39517</v>
      </c>
      <c r="H30">
        <v>26</v>
      </c>
      <c r="I30" s="5" t="str" cm="1">
        <f t="array" ref="I30">_xlfn.IFS(Table4[[#This Row],[Experience]]&lt;15, "7-15 YEARS",Table4[[#This Row],[Experience]]&lt;23, "15-23  YEARS",Table4[[#This Row],[Experience]]&lt;30, "23-30 YEARS",Table4[[#This Row],[Experience]]&gt;=30, "30+ YEARS")</f>
        <v>23-30 YEARS</v>
      </c>
      <c r="J30">
        <v>201094</v>
      </c>
      <c r="K30" s="5" t="str" cm="1">
        <f t="array" ref="K30">_xlfn.IFS(Table4[[#This Row],[Salary]]&lt;50000, "0-50K",Table4[[#This Row],[Salary]]&lt;100000, "50K-1L",Table4[[#This Row],[Salary]]&lt;150000, "1L-1.5L",Table4[[#This Row],[Salary]]&lt;200000, "1.5-2L",Table4[[#This Row],[Salary]]&gt;=200000, "2L+")</f>
        <v>2L+</v>
      </c>
    </row>
    <row r="31" spans="1:11" x14ac:dyDescent="0.3">
      <c r="A31">
        <v>29</v>
      </c>
      <c r="B31">
        <v>3555</v>
      </c>
      <c r="C31">
        <v>48</v>
      </c>
      <c r="D31" s="5" t="str" cm="1">
        <f t="array" ref="D31">_xlfn.IFS(C31&lt;30, "20-29",C31&lt;40, "30-39",C31&lt;50, "40-49",C31&lt;60, "50-59",Table4[[#This Row],[Age]]&gt;=60, "60+"  )</f>
        <v>40-49</v>
      </c>
      <c r="E31" t="s">
        <v>9</v>
      </c>
      <c r="F31" t="b">
        <v>1</v>
      </c>
      <c r="G31" s="1">
        <v>29403</v>
      </c>
      <c r="H31">
        <v>25</v>
      </c>
      <c r="I31" s="5" t="str" cm="1">
        <f t="array" ref="I31">_xlfn.IFS(Table4[[#This Row],[Experience]]&lt;15, "7-15 YEARS",Table4[[#This Row],[Experience]]&lt;23, "15-23  YEARS",Table4[[#This Row],[Experience]]&lt;30, "23-30 YEARS",Table4[[#This Row],[Experience]]&gt;=30, "30+ YEARS")</f>
        <v>23-30 YEARS</v>
      </c>
      <c r="J31">
        <v>192419</v>
      </c>
      <c r="K31" s="5" t="str" cm="1">
        <f t="array" ref="K31">_xlfn.IFS(Table4[[#This Row],[Salary]]&lt;50000, "0-50K",Table4[[#This Row],[Salary]]&lt;100000, "50K-1L",Table4[[#This Row],[Salary]]&lt;150000, "1L-1.5L",Table4[[#This Row],[Salary]]&lt;200000, "1.5-2L",Table4[[#This Row],[Salary]]&gt;=200000, "2L+")</f>
        <v>1.5-2L</v>
      </c>
    </row>
    <row r="32" spans="1:11" x14ac:dyDescent="0.3">
      <c r="A32">
        <v>30</v>
      </c>
      <c r="B32">
        <v>3490</v>
      </c>
      <c r="C32">
        <v>28</v>
      </c>
      <c r="D32" s="5" t="str" cm="1">
        <f t="array" ref="D32">_xlfn.IFS(C32&lt;30, "20-29",C32&lt;40, "30-39",C32&lt;50, "40-49",C32&lt;60, "50-59",Table4[[#This Row],[Age]]&gt;=60, "60+"  )</f>
        <v>20-29</v>
      </c>
      <c r="E32" t="s">
        <v>12</v>
      </c>
      <c r="F32" t="b">
        <v>1</v>
      </c>
      <c r="G32" s="1">
        <v>38232</v>
      </c>
      <c r="H32">
        <v>13</v>
      </c>
      <c r="I32" s="5" t="str" cm="1">
        <f t="array" ref="I32">_xlfn.IFS(Table4[[#This Row],[Experience]]&lt;15, "7-15 YEARS",Table4[[#This Row],[Experience]]&lt;23, "15-23  YEARS",Table4[[#This Row],[Experience]]&lt;30, "23-30 YEARS",Table4[[#This Row],[Experience]]&gt;=30, "30+ YEARS")</f>
        <v>7-15 YEARS</v>
      </c>
      <c r="J32">
        <v>103102</v>
      </c>
      <c r="K32" s="5" t="str" cm="1">
        <f t="array" ref="K32">_xlfn.IFS(Table4[[#This Row],[Salary]]&lt;50000, "0-50K",Table4[[#This Row],[Salary]]&lt;100000, "50K-1L",Table4[[#This Row],[Salary]]&lt;150000, "1L-1.5L",Table4[[#This Row],[Salary]]&lt;200000, "1.5-2L",Table4[[#This Row],[Salary]]&gt;=200000, "2L+")</f>
        <v>1L-1.5L</v>
      </c>
    </row>
    <row r="33" spans="1:11" x14ac:dyDescent="0.3">
      <c r="A33">
        <v>31</v>
      </c>
      <c r="B33">
        <v>3637</v>
      </c>
      <c r="C33">
        <v>62</v>
      </c>
      <c r="D33" s="5" t="str" cm="1">
        <f t="array" ref="D33">_xlfn.IFS(C33&lt;30, "20-29",C33&lt;40, "30-39",C33&lt;50, "40-49",C33&lt;60, "50-59",Table4[[#This Row],[Age]]&gt;=60, "60+"  )</f>
        <v>60+</v>
      </c>
      <c r="E33" t="s">
        <v>10</v>
      </c>
      <c r="F33" t="b">
        <v>1</v>
      </c>
      <c r="G33" s="1">
        <v>27772</v>
      </c>
      <c r="H33">
        <v>31</v>
      </c>
      <c r="I33" s="5" t="str" cm="1">
        <f t="array" ref="I33">_xlfn.IFS(Table4[[#This Row],[Experience]]&lt;15, "7-15 YEARS",Table4[[#This Row],[Experience]]&lt;23, "15-23  YEARS",Table4[[#This Row],[Experience]]&lt;30, "23-30 YEARS",Table4[[#This Row],[Experience]]&gt;=30, "30+ YEARS")</f>
        <v>30+ YEARS</v>
      </c>
      <c r="J33">
        <v>248038</v>
      </c>
      <c r="K33" s="5" t="str" cm="1">
        <f t="array" ref="K33">_xlfn.IFS(Table4[[#This Row],[Salary]]&lt;50000, "0-50K",Table4[[#This Row],[Salary]]&lt;100000, "50K-1L",Table4[[#This Row],[Salary]]&lt;150000, "1L-1.5L",Table4[[#This Row],[Salary]]&lt;200000, "1.5-2L",Table4[[#This Row],[Salary]]&gt;=200000, "2L+")</f>
        <v>2L+</v>
      </c>
    </row>
    <row r="34" spans="1:11" x14ac:dyDescent="0.3">
      <c r="A34">
        <v>32</v>
      </c>
      <c r="B34">
        <v>9629</v>
      </c>
      <c r="C34">
        <v>44</v>
      </c>
      <c r="D34" s="5" t="str" cm="1">
        <f t="array" ref="D34">_xlfn.IFS(C34&lt;30, "20-29",C34&lt;40, "30-39",C34&lt;50, "40-49",C34&lt;60, "50-59",Table4[[#This Row],[Age]]&gt;=60, "60+"  )</f>
        <v>40-49</v>
      </c>
      <c r="E34" t="s">
        <v>10</v>
      </c>
      <c r="F34" t="b">
        <v>1</v>
      </c>
      <c r="G34" s="1">
        <v>34537</v>
      </c>
      <c r="H34">
        <v>22</v>
      </c>
      <c r="I34" s="5" t="str" cm="1">
        <f t="array" ref="I34">_xlfn.IFS(Table4[[#This Row],[Experience]]&lt;15, "7-15 YEARS",Table4[[#This Row],[Experience]]&lt;23, "15-23  YEARS",Table4[[#This Row],[Experience]]&lt;30, "23-30 YEARS",Table4[[#This Row],[Experience]]&gt;=30, "30+ YEARS")</f>
        <v>15-23  YEARS</v>
      </c>
      <c r="J34">
        <v>178656</v>
      </c>
      <c r="K34" s="5" t="str" cm="1">
        <f t="array" ref="K34">_xlfn.IFS(Table4[[#This Row],[Salary]]&lt;50000, "0-50K",Table4[[#This Row],[Salary]]&lt;100000, "50K-1L",Table4[[#This Row],[Salary]]&lt;150000, "1L-1.5L",Table4[[#This Row],[Salary]]&lt;200000, "1.5-2L",Table4[[#This Row],[Salary]]&gt;=200000, "2L+")</f>
        <v>1.5-2L</v>
      </c>
    </row>
    <row r="35" spans="1:11" x14ac:dyDescent="0.3">
      <c r="A35">
        <v>33</v>
      </c>
      <c r="B35">
        <v>6809</v>
      </c>
      <c r="C35">
        <v>40</v>
      </c>
      <c r="D35" s="5" t="str" cm="1">
        <f t="array" ref="D35">_xlfn.IFS(C35&lt;30, "20-29",C35&lt;40, "30-39",C35&lt;50, "40-49",C35&lt;60, "50-59",Table4[[#This Row],[Age]]&gt;=60, "60+"  )</f>
        <v>40-49</v>
      </c>
      <c r="E35" t="s">
        <v>12</v>
      </c>
      <c r="F35" t="b">
        <v>1</v>
      </c>
      <c r="G35" s="1">
        <v>27981</v>
      </c>
      <c r="H35">
        <v>19</v>
      </c>
      <c r="I35" s="5" t="str" cm="1">
        <f t="array" ref="I35">_xlfn.IFS(Table4[[#This Row],[Experience]]&lt;15, "7-15 YEARS",Table4[[#This Row],[Experience]]&lt;23, "15-23  YEARS",Table4[[#This Row],[Experience]]&lt;30, "23-30 YEARS",Table4[[#This Row],[Experience]]&gt;=30, "30+ YEARS")</f>
        <v>15-23  YEARS</v>
      </c>
      <c r="J35">
        <v>149831</v>
      </c>
      <c r="K35" s="5" t="str" cm="1">
        <f t="array" ref="K35">_xlfn.IFS(Table4[[#This Row],[Salary]]&lt;50000, "0-50K",Table4[[#This Row],[Salary]]&lt;100000, "50K-1L",Table4[[#This Row],[Salary]]&lt;150000, "1L-1.5L",Table4[[#This Row],[Salary]]&lt;200000, "1.5-2L",Table4[[#This Row],[Salary]]&gt;=200000, "2L+")</f>
        <v>1L-1.5L</v>
      </c>
    </row>
    <row r="36" spans="1:11" x14ac:dyDescent="0.3">
      <c r="A36">
        <v>34</v>
      </c>
      <c r="B36">
        <v>8660</v>
      </c>
      <c r="C36">
        <v>34</v>
      </c>
      <c r="D36" s="5" t="str" cm="1">
        <f t="array" ref="D36">_xlfn.IFS(C36&lt;30, "20-29",C36&lt;40, "30-39",C36&lt;50, "40-49",C36&lt;60, "50-59",Table4[[#This Row],[Age]]&gt;=60, "60+"  )</f>
        <v>30-39</v>
      </c>
      <c r="E36" t="s">
        <v>11</v>
      </c>
      <c r="F36" t="b">
        <v>1</v>
      </c>
      <c r="G36" s="1">
        <v>43527</v>
      </c>
      <c r="H36">
        <v>17</v>
      </c>
      <c r="I36" s="5" t="str" cm="1">
        <f t="array" ref="I36">_xlfn.IFS(Table4[[#This Row],[Experience]]&lt;15, "7-15 YEARS",Table4[[#This Row],[Experience]]&lt;23, "15-23  YEARS",Table4[[#This Row],[Experience]]&lt;30, "23-30 YEARS",Table4[[#This Row],[Experience]]&gt;=30, "30+ YEARS")</f>
        <v>15-23  YEARS</v>
      </c>
      <c r="J36">
        <v>137180</v>
      </c>
      <c r="K36" s="5" t="str" cm="1">
        <f t="array" ref="K36">_xlfn.IFS(Table4[[#This Row],[Salary]]&lt;50000, "0-50K",Table4[[#This Row],[Salary]]&lt;100000, "50K-1L",Table4[[#This Row],[Salary]]&lt;150000, "1L-1.5L",Table4[[#This Row],[Salary]]&lt;200000, "1.5-2L",Table4[[#This Row],[Salary]]&gt;=200000, "2L+")</f>
        <v>1L-1.5L</v>
      </c>
    </row>
    <row r="37" spans="1:11" x14ac:dyDescent="0.3">
      <c r="A37">
        <v>35</v>
      </c>
      <c r="B37">
        <v>3840</v>
      </c>
      <c r="C37">
        <v>45</v>
      </c>
      <c r="D37" s="5" t="str" cm="1">
        <f t="array" ref="D37">_xlfn.IFS(C37&lt;30, "20-29",C37&lt;40, "30-39",C37&lt;50, "40-49",C37&lt;60, "50-59",Table4[[#This Row],[Age]]&gt;=60, "60+"  )</f>
        <v>40-49</v>
      </c>
      <c r="E37" t="s">
        <v>9</v>
      </c>
      <c r="F37" t="b">
        <v>1</v>
      </c>
      <c r="G37" s="1">
        <v>26618</v>
      </c>
      <c r="H37">
        <v>22</v>
      </c>
      <c r="I37" s="5" t="str" cm="1">
        <f t="array" ref="I37">_xlfn.IFS(Table4[[#This Row],[Experience]]&lt;15, "7-15 YEARS",Table4[[#This Row],[Experience]]&lt;23, "15-23  YEARS",Table4[[#This Row],[Experience]]&lt;30, "23-30 YEARS",Table4[[#This Row],[Experience]]&gt;=30, "30+ YEARS")</f>
        <v>15-23  YEARS</v>
      </c>
      <c r="J37">
        <v>173071</v>
      </c>
      <c r="K37" s="5" t="str" cm="1">
        <f t="array" ref="K37">_xlfn.IFS(Table4[[#This Row],[Salary]]&lt;50000, "0-50K",Table4[[#This Row],[Salary]]&lt;100000, "50K-1L",Table4[[#This Row],[Salary]]&lt;150000, "1L-1.5L",Table4[[#This Row],[Salary]]&lt;200000, "1.5-2L",Table4[[#This Row],[Salary]]&gt;=200000, "2L+")</f>
        <v>1.5-2L</v>
      </c>
    </row>
    <row r="38" spans="1:11" x14ac:dyDescent="0.3">
      <c r="A38">
        <v>36</v>
      </c>
      <c r="B38">
        <v>8354</v>
      </c>
      <c r="C38">
        <v>45</v>
      </c>
      <c r="D38" s="5" t="str" cm="1">
        <f t="array" ref="D38">_xlfn.IFS(C38&lt;30, "20-29",C38&lt;40, "30-39",C38&lt;50, "40-49",C38&lt;60, "50-59",Table4[[#This Row],[Age]]&gt;=60, "60+"  )</f>
        <v>40-49</v>
      </c>
      <c r="E38" t="s">
        <v>8</v>
      </c>
      <c r="F38" t="b">
        <v>0</v>
      </c>
      <c r="G38" s="1">
        <v>26204</v>
      </c>
      <c r="H38">
        <v>22</v>
      </c>
      <c r="I38" s="5" t="str" cm="1">
        <f t="array" ref="I38">_xlfn.IFS(Table4[[#This Row],[Experience]]&lt;15, "7-15 YEARS",Table4[[#This Row],[Experience]]&lt;23, "15-23  YEARS",Table4[[#This Row],[Experience]]&lt;30, "23-30 YEARS",Table4[[#This Row],[Experience]]&gt;=30, "30+ YEARS")</f>
        <v>15-23  YEARS</v>
      </c>
      <c r="J38">
        <v>177939</v>
      </c>
      <c r="K38" s="5" t="str" cm="1">
        <f t="array" ref="K38">_xlfn.IFS(Table4[[#This Row],[Salary]]&lt;50000, "0-50K",Table4[[#This Row],[Salary]]&lt;100000, "50K-1L",Table4[[#This Row],[Salary]]&lt;150000, "1L-1.5L",Table4[[#This Row],[Salary]]&lt;200000, "1.5-2L",Table4[[#This Row],[Salary]]&gt;=200000, "2L+")</f>
        <v>1.5-2L</v>
      </c>
    </row>
    <row r="39" spans="1:11" x14ac:dyDescent="0.3">
      <c r="A39">
        <v>37</v>
      </c>
      <c r="B39">
        <v>9487</v>
      </c>
      <c r="C39">
        <v>37</v>
      </c>
      <c r="D39" s="5" t="str" cm="1">
        <f t="array" ref="D39">_xlfn.IFS(C39&lt;30, "20-29",C39&lt;40, "30-39",C39&lt;50, "40-49",C39&lt;60, "50-59",Table4[[#This Row],[Age]]&gt;=60, "60+"  )</f>
        <v>30-39</v>
      </c>
      <c r="E39" t="s">
        <v>9</v>
      </c>
      <c r="F39" t="b">
        <v>0</v>
      </c>
      <c r="G39" s="1">
        <v>45510</v>
      </c>
      <c r="H39">
        <v>14</v>
      </c>
      <c r="I39" s="5" t="str" cm="1">
        <f t="array" ref="I39">_xlfn.IFS(Table4[[#This Row],[Experience]]&lt;15, "7-15 YEARS",Table4[[#This Row],[Experience]]&lt;23, "15-23  YEARS",Table4[[#This Row],[Experience]]&lt;30, "23-30 YEARS",Table4[[#This Row],[Experience]]&gt;=30, "30+ YEARS")</f>
        <v>7-15 YEARS</v>
      </c>
      <c r="J39">
        <v>115812</v>
      </c>
      <c r="K39" s="5" t="str" cm="1">
        <f t="array" ref="K39">_xlfn.IFS(Table4[[#This Row],[Salary]]&lt;50000, "0-50K",Table4[[#This Row],[Salary]]&lt;100000, "50K-1L",Table4[[#This Row],[Salary]]&lt;150000, "1L-1.5L",Table4[[#This Row],[Salary]]&lt;200000, "1.5-2L",Table4[[#This Row],[Salary]]&gt;=200000, "2L+")</f>
        <v>1L-1.5L</v>
      </c>
    </row>
    <row r="40" spans="1:11" x14ac:dyDescent="0.3">
      <c r="A40">
        <v>38</v>
      </c>
      <c r="B40">
        <v>1501</v>
      </c>
      <c r="C40">
        <v>47</v>
      </c>
      <c r="D40" s="5" t="str" cm="1">
        <f t="array" ref="D40">_xlfn.IFS(C40&lt;30, "20-29",C40&lt;40, "30-39",C40&lt;50, "40-49",C40&lt;60, "50-59",Table4[[#This Row],[Age]]&gt;=60, "60+"  )</f>
        <v>40-49</v>
      </c>
      <c r="E40" t="s">
        <v>10</v>
      </c>
      <c r="F40" t="b">
        <v>1</v>
      </c>
      <c r="G40" s="1">
        <v>32403</v>
      </c>
      <c r="H40">
        <v>21</v>
      </c>
      <c r="I40" s="5" t="str" cm="1">
        <f t="array" ref="I40">_xlfn.IFS(Table4[[#This Row],[Experience]]&lt;15, "7-15 YEARS",Table4[[#This Row],[Experience]]&lt;23, "15-23  YEARS",Table4[[#This Row],[Experience]]&lt;30, "23-30 YEARS",Table4[[#This Row],[Experience]]&gt;=30, "30+ YEARS")</f>
        <v>15-23  YEARS</v>
      </c>
      <c r="J40">
        <v>159633</v>
      </c>
      <c r="K40" s="5" t="str" cm="1">
        <f t="array" ref="K40">_xlfn.IFS(Table4[[#This Row],[Salary]]&lt;50000, "0-50K",Table4[[#This Row],[Salary]]&lt;100000, "50K-1L",Table4[[#This Row],[Salary]]&lt;150000, "1L-1.5L",Table4[[#This Row],[Salary]]&lt;200000, "1.5-2L",Table4[[#This Row],[Salary]]&gt;=200000, "2L+")</f>
        <v>1.5-2L</v>
      </c>
    </row>
    <row r="41" spans="1:11" x14ac:dyDescent="0.3">
      <c r="A41">
        <v>39</v>
      </c>
      <c r="B41">
        <v>3766</v>
      </c>
      <c r="C41">
        <v>30</v>
      </c>
      <c r="D41" s="5" t="str" cm="1">
        <f t="array" ref="D41">_xlfn.IFS(C41&lt;30, "20-29",C41&lt;40, "30-39",C41&lt;50, "40-49",C41&lt;60, "50-59",Table4[[#This Row],[Age]]&gt;=60, "60+"  )</f>
        <v>30-39</v>
      </c>
      <c r="E41" t="s">
        <v>10</v>
      </c>
      <c r="F41" t="b">
        <v>1</v>
      </c>
      <c r="G41" s="1">
        <v>28299</v>
      </c>
      <c r="H41">
        <v>16</v>
      </c>
      <c r="I41" s="5" t="str" cm="1">
        <f t="array" ref="I41">_xlfn.IFS(Table4[[#This Row],[Experience]]&lt;15, "7-15 YEARS",Table4[[#This Row],[Experience]]&lt;23, "15-23  YEARS",Table4[[#This Row],[Experience]]&lt;30, "23-30 YEARS",Table4[[#This Row],[Experience]]&gt;=30, "30+ YEARS")</f>
        <v>15-23  YEARS</v>
      </c>
      <c r="J41">
        <v>132927</v>
      </c>
      <c r="K41" s="5" t="str" cm="1">
        <f t="array" ref="K41">_xlfn.IFS(Table4[[#This Row],[Salary]]&lt;50000, "0-50K",Table4[[#This Row],[Salary]]&lt;100000, "50K-1L",Table4[[#This Row],[Salary]]&lt;150000, "1L-1.5L",Table4[[#This Row],[Salary]]&lt;200000, "1.5-2L",Table4[[#This Row],[Salary]]&gt;=200000, "2L+")</f>
        <v>1L-1.5L</v>
      </c>
    </row>
    <row r="42" spans="1:11" x14ac:dyDescent="0.3">
      <c r="A42">
        <v>40</v>
      </c>
      <c r="B42">
        <v>6867</v>
      </c>
      <c r="C42">
        <v>47</v>
      </c>
      <c r="D42" s="5" t="str" cm="1">
        <f t="array" ref="D42">_xlfn.IFS(C42&lt;30, "20-29",C42&lt;40, "30-39",C42&lt;50, "40-49",C42&lt;60, "50-59",Table4[[#This Row],[Age]]&gt;=60, "60+"  )</f>
        <v>40-49</v>
      </c>
      <c r="E42" t="s">
        <v>9</v>
      </c>
      <c r="F42" t="b">
        <v>0</v>
      </c>
      <c r="G42" s="1">
        <v>39670</v>
      </c>
      <c r="H42">
        <v>26</v>
      </c>
      <c r="I42" s="5" t="str" cm="1">
        <f t="array" ref="I42">_xlfn.IFS(Table4[[#This Row],[Experience]]&lt;15, "7-15 YEARS",Table4[[#This Row],[Experience]]&lt;23, "15-23  YEARS",Table4[[#This Row],[Experience]]&lt;30, "23-30 YEARS",Table4[[#This Row],[Experience]]&gt;=30, "30+ YEARS")</f>
        <v>23-30 YEARS</v>
      </c>
      <c r="J42">
        <v>208357</v>
      </c>
      <c r="K42" s="5" t="str" cm="1">
        <f t="array" ref="K42">_xlfn.IFS(Table4[[#This Row],[Salary]]&lt;50000, "0-50K",Table4[[#This Row],[Salary]]&lt;100000, "50K-1L",Table4[[#This Row],[Salary]]&lt;150000, "1L-1.5L",Table4[[#This Row],[Salary]]&lt;200000, "1.5-2L",Table4[[#This Row],[Salary]]&gt;=200000, "2L+")</f>
        <v>2L+</v>
      </c>
    </row>
    <row r="43" spans="1:11" x14ac:dyDescent="0.3">
      <c r="A43">
        <v>41</v>
      </c>
      <c r="B43">
        <v>3272</v>
      </c>
      <c r="C43">
        <v>22</v>
      </c>
      <c r="D43" s="5" t="str" cm="1">
        <f t="array" ref="D43">_xlfn.IFS(C43&lt;30, "20-29",C43&lt;40, "30-39",C43&lt;50, "40-49",C43&lt;60, "50-59",Table4[[#This Row],[Age]]&gt;=60, "60+"  )</f>
        <v>20-29</v>
      </c>
      <c r="E43" t="s">
        <v>9</v>
      </c>
      <c r="F43" t="b">
        <v>1</v>
      </c>
      <c r="G43" s="1">
        <v>34593</v>
      </c>
      <c r="H43">
        <v>12</v>
      </c>
      <c r="I43" s="5" t="str" cm="1">
        <f t="array" ref="I43">_xlfn.IFS(Table4[[#This Row],[Experience]]&lt;15, "7-15 YEARS",Table4[[#This Row],[Experience]]&lt;23, "15-23  YEARS",Table4[[#This Row],[Experience]]&lt;30, "23-30 YEARS",Table4[[#This Row],[Experience]]&gt;=30, "30+ YEARS")</f>
        <v>7-15 YEARS</v>
      </c>
      <c r="J43">
        <v>98088</v>
      </c>
      <c r="K43" s="5" t="str" cm="1">
        <f t="array" ref="K43">_xlfn.IFS(Table4[[#This Row],[Salary]]&lt;50000, "0-50K",Table4[[#This Row],[Salary]]&lt;100000, "50K-1L",Table4[[#This Row],[Salary]]&lt;150000, "1L-1.5L",Table4[[#This Row],[Salary]]&lt;200000, "1.5-2L",Table4[[#This Row],[Salary]]&gt;=200000, "2L+")</f>
        <v>50K-1L</v>
      </c>
    </row>
    <row r="44" spans="1:11" x14ac:dyDescent="0.3">
      <c r="A44">
        <v>42</v>
      </c>
      <c r="B44">
        <v>9299</v>
      </c>
      <c r="C44">
        <v>45</v>
      </c>
      <c r="D44" s="5" t="str" cm="1">
        <f t="array" ref="D44">_xlfn.IFS(C44&lt;30, "20-29",C44&lt;40, "30-39",C44&lt;50, "40-49",C44&lt;60, "50-59",Table4[[#This Row],[Age]]&gt;=60, "60+"  )</f>
        <v>40-49</v>
      </c>
      <c r="E44" t="s">
        <v>9</v>
      </c>
      <c r="F44" t="b">
        <v>0</v>
      </c>
      <c r="G44" s="1">
        <v>44231</v>
      </c>
      <c r="H44">
        <v>20</v>
      </c>
      <c r="I44" s="5" t="str" cm="1">
        <f t="array" ref="I44">_xlfn.IFS(Table4[[#This Row],[Experience]]&lt;15, "7-15 YEARS",Table4[[#This Row],[Experience]]&lt;23, "15-23  YEARS",Table4[[#This Row],[Experience]]&lt;30, "23-30 YEARS",Table4[[#This Row],[Experience]]&gt;=30, "30+ YEARS")</f>
        <v>15-23  YEARS</v>
      </c>
      <c r="J44">
        <v>162526</v>
      </c>
      <c r="K44" s="5" t="str" cm="1">
        <f t="array" ref="K44">_xlfn.IFS(Table4[[#This Row],[Salary]]&lt;50000, "0-50K",Table4[[#This Row],[Salary]]&lt;100000, "50K-1L",Table4[[#This Row],[Salary]]&lt;150000, "1L-1.5L",Table4[[#This Row],[Salary]]&lt;200000, "1.5-2L",Table4[[#This Row],[Salary]]&gt;=200000, "2L+")</f>
        <v>1.5-2L</v>
      </c>
    </row>
    <row r="45" spans="1:11" x14ac:dyDescent="0.3">
      <c r="A45">
        <v>43</v>
      </c>
      <c r="B45">
        <v>3681</v>
      </c>
      <c r="C45">
        <v>48</v>
      </c>
      <c r="D45" s="5" t="str" cm="1">
        <f t="array" ref="D45">_xlfn.IFS(C45&lt;30, "20-29",C45&lt;40, "30-39",C45&lt;50, "40-49",C45&lt;60, "50-59",Table4[[#This Row],[Age]]&gt;=60, "60+"  )</f>
        <v>40-49</v>
      </c>
      <c r="E45" t="s">
        <v>8</v>
      </c>
      <c r="F45" t="b">
        <v>1</v>
      </c>
      <c r="G45" s="1">
        <v>27080</v>
      </c>
      <c r="H45">
        <v>23</v>
      </c>
      <c r="I45" s="5" t="str" cm="1">
        <f t="array" ref="I45">_xlfn.IFS(Table4[[#This Row],[Experience]]&lt;15, "7-15 YEARS",Table4[[#This Row],[Experience]]&lt;23, "15-23  YEARS",Table4[[#This Row],[Experience]]&lt;30, "23-30 YEARS",Table4[[#This Row],[Experience]]&gt;=30, "30+ YEARS")</f>
        <v>23-30 YEARS</v>
      </c>
      <c r="J45">
        <v>182251</v>
      </c>
      <c r="K45" s="5" t="str" cm="1">
        <f t="array" ref="K45">_xlfn.IFS(Table4[[#This Row],[Salary]]&lt;50000, "0-50K",Table4[[#This Row],[Salary]]&lt;100000, "50K-1L",Table4[[#This Row],[Salary]]&lt;150000, "1L-1.5L",Table4[[#This Row],[Salary]]&lt;200000, "1.5-2L",Table4[[#This Row],[Salary]]&gt;=200000, "2L+")</f>
        <v>1.5-2L</v>
      </c>
    </row>
    <row r="46" spans="1:11" x14ac:dyDescent="0.3">
      <c r="A46">
        <v>44</v>
      </c>
      <c r="B46">
        <v>1311</v>
      </c>
      <c r="C46">
        <v>51</v>
      </c>
      <c r="D46" s="5" t="str" cm="1">
        <f t="array" ref="D46">_xlfn.IFS(C46&lt;30, "20-29",C46&lt;40, "30-39",C46&lt;50, "40-49",C46&lt;60, "50-59",Table4[[#This Row],[Age]]&gt;=60, "60+"  )</f>
        <v>50-59</v>
      </c>
      <c r="E46" t="s">
        <v>9</v>
      </c>
      <c r="F46" t="b">
        <v>1</v>
      </c>
      <c r="G46" s="1">
        <v>44672</v>
      </c>
      <c r="H46">
        <v>27</v>
      </c>
      <c r="I46" s="5" t="str" cm="1">
        <f t="array" ref="I46">_xlfn.IFS(Table4[[#This Row],[Experience]]&lt;15, "7-15 YEARS",Table4[[#This Row],[Experience]]&lt;23, "15-23  YEARS",Table4[[#This Row],[Experience]]&lt;30, "23-30 YEARS",Table4[[#This Row],[Experience]]&gt;=30, "30+ YEARS")</f>
        <v>23-30 YEARS</v>
      </c>
      <c r="J46">
        <v>222715</v>
      </c>
      <c r="K46" s="5" t="str" cm="1">
        <f t="array" ref="K46">_xlfn.IFS(Table4[[#This Row],[Salary]]&lt;50000, "0-50K",Table4[[#This Row],[Salary]]&lt;100000, "50K-1L",Table4[[#This Row],[Salary]]&lt;150000, "1L-1.5L",Table4[[#This Row],[Salary]]&lt;200000, "1.5-2L",Table4[[#This Row],[Salary]]&gt;=200000, "2L+")</f>
        <v>2L+</v>
      </c>
    </row>
    <row r="47" spans="1:11" x14ac:dyDescent="0.3">
      <c r="A47">
        <v>45</v>
      </c>
      <c r="B47">
        <v>7563</v>
      </c>
      <c r="C47">
        <v>31</v>
      </c>
      <c r="D47" s="5" t="str" cm="1">
        <f t="array" ref="D47">_xlfn.IFS(C47&lt;30, "20-29",C47&lt;40, "30-39",C47&lt;50, "40-49",C47&lt;60, "50-59",Table4[[#This Row],[Age]]&gt;=60, "60+"  )</f>
        <v>30-39</v>
      </c>
      <c r="E47" t="s">
        <v>8</v>
      </c>
      <c r="F47" t="b">
        <v>0</v>
      </c>
      <c r="G47" s="1">
        <v>29962</v>
      </c>
      <c r="H47">
        <v>17</v>
      </c>
      <c r="I47" s="5" t="str" cm="1">
        <f t="array" ref="I47">_xlfn.IFS(Table4[[#This Row],[Experience]]&lt;15, "7-15 YEARS",Table4[[#This Row],[Experience]]&lt;23, "15-23  YEARS",Table4[[#This Row],[Experience]]&lt;30, "23-30 YEARS",Table4[[#This Row],[Experience]]&gt;=30, "30+ YEARS")</f>
        <v>15-23  YEARS</v>
      </c>
      <c r="J47">
        <v>133435</v>
      </c>
      <c r="K47" s="5" t="str" cm="1">
        <f t="array" ref="K47">_xlfn.IFS(Table4[[#This Row],[Salary]]&lt;50000, "0-50K",Table4[[#This Row],[Salary]]&lt;100000, "50K-1L",Table4[[#This Row],[Salary]]&lt;150000, "1L-1.5L",Table4[[#This Row],[Salary]]&lt;200000, "1.5-2L",Table4[[#This Row],[Salary]]&gt;=200000, "2L+")</f>
        <v>1L-1.5L</v>
      </c>
    </row>
    <row r="48" spans="1:11" x14ac:dyDescent="0.3">
      <c r="A48">
        <v>46</v>
      </c>
      <c r="B48">
        <v>1977</v>
      </c>
      <c r="C48">
        <v>38</v>
      </c>
      <c r="D48" s="5" t="str" cm="1">
        <f t="array" ref="D48">_xlfn.IFS(C48&lt;30, "20-29",C48&lt;40, "30-39",C48&lt;50, "40-49",C48&lt;60, "50-59",Table4[[#This Row],[Age]]&gt;=60, "60+"  )</f>
        <v>30-39</v>
      </c>
      <c r="E48" t="s">
        <v>8</v>
      </c>
      <c r="F48" t="b">
        <v>0</v>
      </c>
      <c r="G48" s="1">
        <v>43596</v>
      </c>
      <c r="H48">
        <v>18</v>
      </c>
      <c r="I48" s="5" t="str" cm="1">
        <f t="array" ref="I48">_xlfn.IFS(Table4[[#This Row],[Experience]]&lt;15, "7-15 YEARS",Table4[[#This Row],[Experience]]&lt;23, "15-23  YEARS",Table4[[#This Row],[Experience]]&lt;30, "23-30 YEARS",Table4[[#This Row],[Experience]]&gt;=30, "30+ YEARS")</f>
        <v>15-23  YEARS</v>
      </c>
      <c r="J48">
        <v>130398</v>
      </c>
      <c r="K48" s="5" t="str" cm="1">
        <f t="array" ref="K48">_xlfn.IFS(Table4[[#This Row],[Salary]]&lt;50000, "0-50K",Table4[[#This Row],[Salary]]&lt;100000, "50K-1L",Table4[[#This Row],[Salary]]&lt;150000, "1L-1.5L",Table4[[#This Row],[Salary]]&lt;200000, "1.5-2L",Table4[[#This Row],[Salary]]&gt;=200000, "2L+")</f>
        <v>1L-1.5L</v>
      </c>
    </row>
    <row r="49" spans="1:11" x14ac:dyDescent="0.3">
      <c r="A49">
        <v>47</v>
      </c>
      <c r="B49">
        <v>2765</v>
      </c>
      <c r="C49">
        <v>40</v>
      </c>
      <c r="D49" s="5" t="str" cm="1">
        <f t="array" ref="D49">_xlfn.IFS(C49&lt;30, "20-29",C49&lt;40, "30-39",C49&lt;50, "40-49",C49&lt;60, "50-59",Table4[[#This Row],[Age]]&gt;=60, "60+"  )</f>
        <v>40-49</v>
      </c>
      <c r="E49" t="s">
        <v>9</v>
      </c>
      <c r="F49" t="b">
        <v>1</v>
      </c>
      <c r="G49" s="1">
        <v>36539</v>
      </c>
      <c r="H49">
        <v>21</v>
      </c>
      <c r="I49" s="5" t="str" cm="1">
        <f t="array" ref="I49">_xlfn.IFS(Table4[[#This Row],[Experience]]&lt;15, "7-15 YEARS",Table4[[#This Row],[Experience]]&lt;23, "15-23  YEARS",Table4[[#This Row],[Experience]]&lt;30, "23-30 YEARS",Table4[[#This Row],[Experience]]&gt;=30, "30+ YEARS")</f>
        <v>15-23  YEARS</v>
      </c>
      <c r="J49">
        <v>164496</v>
      </c>
      <c r="K49" s="5" t="str" cm="1">
        <f t="array" ref="K49">_xlfn.IFS(Table4[[#This Row],[Salary]]&lt;50000, "0-50K",Table4[[#This Row],[Salary]]&lt;100000, "50K-1L",Table4[[#This Row],[Salary]]&lt;150000, "1L-1.5L",Table4[[#This Row],[Salary]]&lt;200000, "1.5-2L",Table4[[#This Row],[Salary]]&gt;=200000, "2L+")</f>
        <v>1.5-2L</v>
      </c>
    </row>
    <row r="50" spans="1:11" x14ac:dyDescent="0.3">
      <c r="A50">
        <v>48</v>
      </c>
      <c r="B50">
        <v>1385</v>
      </c>
      <c r="C50">
        <v>42</v>
      </c>
      <c r="D50" s="5" t="str" cm="1">
        <f t="array" ref="D50">_xlfn.IFS(C50&lt;30, "20-29",C50&lt;40, "30-39",C50&lt;50, "40-49",C50&lt;60, "50-59",Table4[[#This Row],[Age]]&gt;=60, "60+"  )</f>
        <v>40-49</v>
      </c>
      <c r="E50" t="s">
        <v>8</v>
      </c>
      <c r="F50" t="b">
        <v>0</v>
      </c>
      <c r="G50" s="1">
        <v>38961</v>
      </c>
      <c r="H50">
        <v>19</v>
      </c>
      <c r="I50" s="5" t="str" cm="1">
        <f t="array" ref="I50">_xlfn.IFS(Table4[[#This Row],[Experience]]&lt;15, "7-15 YEARS",Table4[[#This Row],[Experience]]&lt;23, "15-23  YEARS",Table4[[#This Row],[Experience]]&lt;30, "23-30 YEARS",Table4[[#This Row],[Experience]]&gt;=30, "30+ YEARS")</f>
        <v>15-23  YEARS</v>
      </c>
      <c r="J50">
        <v>158595</v>
      </c>
      <c r="K50" s="5" t="str" cm="1">
        <f t="array" ref="K50">_xlfn.IFS(Table4[[#This Row],[Salary]]&lt;50000, "0-50K",Table4[[#This Row],[Salary]]&lt;100000, "50K-1L",Table4[[#This Row],[Salary]]&lt;150000, "1L-1.5L",Table4[[#This Row],[Salary]]&lt;200000, "1.5-2L",Table4[[#This Row],[Salary]]&gt;=200000, "2L+")</f>
        <v>1.5-2L</v>
      </c>
    </row>
    <row r="51" spans="1:11" x14ac:dyDescent="0.3">
      <c r="A51">
        <v>49</v>
      </c>
      <c r="B51">
        <v>4113</v>
      </c>
      <c r="C51">
        <v>64</v>
      </c>
      <c r="D51" s="5" t="str" cm="1">
        <f t="array" ref="D51">_xlfn.IFS(C51&lt;30, "20-29",C51&lt;40, "30-39",C51&lt;50, "40-49",C51&lt;60, "50-59",Table4[[#This Row],[Age]]&gt;=60, "60+"  )</f>
        <v>60+</v>
      </c>
      <c r="E51" t="s">
        <v>10</v>
      </c>
      <c r="F51" t="b">
        <v>0</v>
      </c>
      <c r="G51" s="1">
        <v>41069</v>
      </c>
      <c r="H51">
        <v>30</v>
      </c>
      <c r="I51" s="5" t="str" cm="1">
        <f t="array" ref="I51">_xlfn.IFS(Table4[[#This Row],[Experience]]&lt;15, "7-15 YEARS",Table4[[#This Row],[Experience]]&lt;23, "15-23  YEARS",Table4[[#This Row],[Experience]]&lt;30, "23-30 YEARS",Table4[[#This Row],[Experience]]&gt;=30, "30+ YEARS")</f>
        <v>30+ YEARS</v>
      </c>
      <c r="J51">
        <v>236259</v>
      </c>
      <c r="K51" s="5" t="str" cm="1">
        <f t="array" ref="K51">_xlfn.IFS(Table4[[#This Row],[Salary]]&lt;50000, "0-50K",Table4[[#This Row],[Salary]]&lt;100000, "50K-1L",Table4[[#This Row],[Salary]]&lt;150000, "1L-1.5L",Table4[[#This Row],[Salary]]&lt;200000, "1.5-2L",Table4[[#This Row],[Salary]]&gt;=200000, "2L+")</f>
        <v>2L+</v>
      </c>
    </row>
    <row r="52" spans="1:11" x14ac:dyDescent="0.3">
      <c r="A52">
        <v>50</v>
      </c>
      <c r="B52">
        <v>8791</v>
      </c>
      <c r="C52">
        <v>50</v>
      </c>
      <c r="D52" s="5" t="str" cm="1">
        <f t="array" ref="D52">_xlfn.IFS(C52&lt;30, "20-29",C52&lt;40, "30-39",C52&lt;50, "40-49",C52&lt;60, "50-59",Table4[[#This Row],[Age]]&gt;=60, "60+"  )</f>
        <v>50-59</v>
      </c>
      <c r="E52" t="s">
        <v>9</v>
      </c>
      <c r="F52" t="b">
        <v>1</v>
      </c>
      <c r="G52" s="1">
        <v>27499</v>
      </c>
      <c r="H52">
        <v>22</v>
      </c>
      <c r="I52" s="5" t="str" cm="1">
        <f t="array" ref="I52">_xlfn.IFS(Table4[[#This Row],[Experience]]&lt;15, "7-15 YEARS",Table4[[#This Row],[Experience]]&lt;23, "15-23  YEARS",Table4[[#This Row],[Experience]]&lt;30, "23-30 YEARS",Table4[[#This Row],[Experience]]&gt;=30, "30+ YEARS")</f>
        <v>15-23  YEARS</v>
      </c>
      <c r="J52">
        <v>174905</v>
      </c>
      <c r="K52" s="5" t="str" cm="1">
        <f t="array" ref="K52">_xlfn.IFS(Table4[[#This Row],[Salary]]&lt;50000, "0-50K",Table4[[#This Row],[Salary]]&lt;100000, "50K-1L",Table4[[#This Row],[Salary]]&lt;150000, "1L-1.5L",Table4[[#This Row],[Salary]]&lt;200000, "1.5-2L",Table4[[#This Row],[Salary]]&gt;=200000, "2L+")</f>
        <v>1.5-2L</v>
      </c>
    </row>
    <row r="53" spans="1:11" x14ac:dyDescent="0.3">
      <c r="A53">
        <v>51</v>
      </c>
      <c r="B53">
        <v>7925</v>
      </c>
      <c r="C53">
        <v>44</v>
      </c>
      <c r="D53" s="5" t="str" cm="1">
        <f t="array" ref="D53">_xlfn.IFS(C53&lt;30, "20-29",C53&lt;40, "30-39",C53&lt;50, "40-49",C53&lt;60, "50-59",Table4[[#This Row],[Age]]&gt;=60, "60+"  )</f>
        <v>40-49</v>
      </c>
      <c r="E53" t="s">
        <v>11</v>
      </c>
      <c r="F53" t="b">
        <v>0</v>
      </c>
      <c r="G53" s="1">
        <v>34686</v>
      </c>
      <c r="H53">
        <v>21</v>
      </c>
      <c r="I53" s="5" t="str" cm="1">
        <f t="array" ref="I53">_xlfn.IFS(Table4[[#This Row],[Experience]]&lt;15, "7-15 YEARS",Table4[[#This Row],[Experience]]&lt;23, "15-23  YEARS",Table4[[#This Row],[Experience]]&lt;30, "23-30 YEARS",Table4[[#This Row],[Experience]]&gt;=30, "30+ YEARS")</f>
        <v>15-23  YEARS</v>
      </c>
      <c r="J53">
        <v>161581</v>
      </c>
      <c r="K53" s="5" t="str" cm="1">
        <f t="array" ref="K53">_xlfn.IFS(Table4[[#This Row],[Salary]]&lt;50000, "0-50K",Table4[[#This Row],[Salary]]&lt;100000, "50K-1L",Table4[[#This Row],[Salary]]&lt;150000, "1L-1.5L",Table4[[#This Row],[Salary]]&lt;200000, "1.5-2L",Table4[[#This Row],[Salary]]&gt;=200000, "2L+")</f>
        <v>1.5-2L</v>
      </c>
    </row>
    <row r="54" spans="1:11" x14ac:dyDescent="0.3">
      <c r="A54">
        <v>52</v>
      </c>
      <c r="B54">
        <v>9867</v>
      </c>
      <c r="C54">
        <v>50</v>
      </c>
      <c r="D54" s="5" t="str" cm="1">
        <f t="array" ref="D54">_xlfn.IFS(C54&lt;30, "20-29",C54&lt;40, "30-39",C54&lt;50, "40-49",C54&lt;60, "50-59",Table4[[#This Row],[Age]]&gt;=60, "60+"  )</f>
        <v>50-59</v>
      </c>
      <c r="E54" t="s">
        <v>12</v>
      </c>
      <c r="F54" t="b">
        <v>1</v>
      </c>
      <c r="G54" s="1">
        <v>32072</v>
      </c>
      <c r="H54">
        <v>27</v>
      </c>
      <c r="I54" s="5" t="str" cm="1">
        <f t="array" ref="I54">_xlfn.IFS(Table4[[#This Row],[Experience]]&lt;15, "7-15 YEARS",Table4[[#This Row],[Experience]]&lt;23, "15-23  YEARS",Table4[[#This Row],[Experience]]&lt;30, "23-30 YEARS",Table4[[#This Row],[Experience]]&gt;=30, "30+ YEARS")</f>
        <v>23-30 YEARS</v>
      </c>
      <c r="J54">
        <v>210865</v>
      </c>
      <c r="K54" s="5" t="str" cm="1">
        <f t="array" ref="K54">_xlfn.IFS(Table4[[#This Row],[Salary]]&lt;50000, "0-50K",Table4[[#This Row],[Salary]]&lt;100000, "50K-1L",Table4[[#This Row],[Salary]]&lt;150000, "1L-1.5L",Table4[[#This Row],[Salary]]&lt;200000, "1.5-2L",Table4[[#This Row],[Salary]]&gt;=200000, "2L+")</f>
        <v>2L+</v>
      </c>
    </row>
    <row r="55" spans="1:11" x14ac:dyDescent="0.3">
      <c r="A55">
        <v>53</v>
      </c>
      <c r="B55">
        <v>3086</v>
      </c>
      <c r="C55">
        <v>46</v>
      </c>
      <c r="D55" s="5" t="str" cm="1">
        <f t="array" ref="D55">_xlfn.IFS(C55&lt;30, "20-29",C55&lt;40, "30-39",C55&lt;50, "40-49",C55&lt;60, "50-59",Table4[[#This Row],[Age]]&gt;=60, "60+"  )</f>
        <v>40-49</v>
      </c>
      <c r="E55" t="s">
        <v>12</v>
      </c>
      <c r="F55" t="b">
        <v>1</v>
      </c>
      <c r="G55" s="1">
        <v>43869</v>
      </c>
      <c r="H55">
        <v>23</v>
      </c>
      <c r="I55" s="5" t="str" cm="1">
        <f t="array" ref="I55">_xlfn.IFS(Table4[[#This Row],[Experience]]&lt;15, "7-15 YEARS",Table4[[#This Row],[Experience]]&lt;23, "15-23  YEARS",Table4[[#This Row],[Experience]]&lt;30, "23-30 YEARS",Table4[[#This Row],[Experience]]&gt;=30, "30+ YEARS")</f>
        <v>23-30 YEARS</v>
      </c>
      <c r="J55">
        <v>187209</v>
      </c>
      <c r="K55" s="5" t="str" cm="1">
        <f t="array" ref="K55">_xlfn.IFS(Table4[[#This Row],[Salary]]&lt;50000, "0-50K",Table4[[#This Row],[Salary]]&lt;100000, "50K-1L",Table4[[#This Row],[Salary]]&lt;150000, "1L-1.5L",Table4[[#This Row],[Salary]]&lt;200000, "1.5-2L",Table4[[#This Row],[Salary]]&gt;=200000, "2L+")</f>
        <v>1.5-2L</v>
      </c>
    </row>
    <row r="56" spans="1:11" x14ac:dyDescent="0.3">
      <c r="A56">
        <v>54</v>
      </c>
      <c r="B56">
        <v>2797</v>
      </c>
      <c r="C56">
        <v>51</v>
      </c>
      <c r="D56" s="5" t="str" cm="1">
        <f t="array" ref="D56">_xlfn.IFS(C56&lt;30, "20-29",C56&lt;40, "30-39",C56&lt;50, "40-49",C56&lt;60, "50-59",Table4[[#This Row],[Age]]&gt;=60, "60+"  )</f>
        <v>50-59</v>
      </c>
      <c r="E56" t="s">
        <v>12</v>
      </c>
      <c r="F56" t="b">
        <v>1</v>
      </c>
      <c r="G56" s="1">
        <v>41585</v>
      </c>
      <c r="H56">
        <v>27</v>
      </c>
      <c r="I56" s="5" t="str" cm="1">
        <f t="array" ref="I56">_xlfn.IFS(Table4[[#This Row],[Experience]]&lt;15, "7-15 YEARS",Table4[[#This Row],[Experience]]&lt;23, "15-23  YEARS",Table4[[#This Row],[Experience]]&lt;30, "23-30 YEARS",Table4[[#This Row],[Experience]]&gt;=30, "30+ YEARS")</f>
        <v>23-30 YEARS</v>
      </c>
      <c r="J56">
        <v>216483</v>
      </c>
      <c r="K56" s="5" t="str" cm="1">
        <f t="array" ref="K56">_xlfn.IFS(Table4[[#This Row],[Salary]]&lt;50000, "0-50K",Table4[[#This Row],[Salary]]&lt;100000, "50K-1L",Table4[[#This Row],[Salary]]&lt;150000, "1L-1.5L",Table4[[#This Row],[Salary]]&lt;200000, "1.5-2L",Table4[[#This Row],[Salary]]&gt;=200000, "2L+")</f>
        <v>2L+</v>
      </c>
    </row>
    <row r="57" spans="1:11" x14ac:dyDescent="0.3">
      <c r="A57">
        <v>55</v>
      </c>
      <c r="B57">
        <v>2514</v>
      </c>
      <c r="C57">
        <v>63</v>
      </c>
      <c r="D57" s="5" t="str" cm="1">
        <f t="array" ref="D57">_xlfn.IFS(C57&lt;30, "20-29",C57&lt;40, "30-39",C57&lt;50, "40-49",C57&lt;60, "50-59",Table4[[#This Row],[Age]]&gt;=60, "60+"  )</f>
        <v>60+</v>
      </c>
      <c r="E57" t="s">
        <v>12</v>
      </c>
      <c r="F57" t="b">
        <v>0</v>
      </c>
      <c r="G57" s="1">
        <v>37692</v>
      </c>
      <c r="H57">
        <v>31</v>
      </c>
      <c r="I57" s="5" t="str" cm="1">
        <f t="array" ref="I57">_xlfn.IFS(Table4[[#This Row],[Experience]]&lt;15, "7-15 YEARS",Table4[[#This Row],[Experience]]&lt;23, "15-23  YEARS",Table4[[#This Row],[Experience]]&lt;30, "23-30 YEARS",Table4[[#This Row],[Experience]]&gt;=30, "30+ YEARS")</f>
        <v>30+ YEARS</v>
      </c>
      <c r="J57">
        <v>241732</v>
      </c>
      <c r="K57" s="5" t="str" cm="1">
        <f t="array" ref="K57">_xlfn.IFS(Table4[[#This Row],[Salary]]&lt;50000, "0-50K",Table4[[#This Row],[Salary]]&lt;100000, "50K-1L",Table4[[#This Row],[Salary]]&lt;150000, "1L-1.5L",Table4[[#This Row],[Salary]]&lt;200000, "1.5-2L",Table4[[#This Row],[Salary]]&gt;=200000, "2L+")</f>
        <v>2L+</v>
      </c>
    </row>
    <row r="58" spans="1:11" x14ac:dyDescent="0.3">
      <c r="A58">
        <v>56</v>
      </c>
      <c r="B58">
        <v>5404</v>
      </c>
      <c r="C58">
        <v>22</v>
      </c>
      <c r="D58" s="5" t="str" cm="1">
        <f t="array" ref="D58">_xlfn.IFS(C58&lt;30, "20-29",C58&lt;40, "30-39",C58&lt;50, "40-49",C58&lt;60, "50-59",Table4[[#This Row],[Age]]&gt;=60, "60+"  )</f>
        <v>20-29</v>
      </c>
      <c r="E58" t="s">
        <v>12</v>
      </c>
      <c r="F58" t="b">
        <v>1</v>
      </c>
      <c r="G58" s="1">
        <v>27170</v>
      </c>
      <c r="H58">
        <v>13</v>
      </c>
      <c r="I58" s="5" t="str" cm="1">
        <f t="array" ref="I58">_xlfn.IFS(Table4[[#This Row],[Experience]]&lt;15, "7-15 YEARS",Table4[[#This Row],[Experience]]&lt;23, "15-23  YEARS",Table4[[#This Row],[Experience]]&lt;30, "23-30 YEARS",Table4[[#This Row],[Experience]]&gt;=30, "30+ YEARS")</f>
        <v>7-15 YEARS</v>
      </c>
      <c r="J58">
        <v>100085</v>
      </c>
      <c r="K58" s="5" t="str" cm="1">
        <f t="array" ref="K58">_xlfn.IFS(Table4[[#This Row],[Salary]]&lt;50000, "0-50K",Table4[[#This Row],[Salary]]&lt;100000, "50K-1L",Table4[[#This Row],[Salary]]&lt;150000, "1L-1.5L",Table4[[#This Row],[Salary]]&lt;200000, "1.5-2L",Table4[[#This Row],[Salary]]&gt;=200000, "2L+")</f>
        <v>1L-1.5L</v>
      </c>
    </row>
    <row r="59" spans="1:11" x14ac:dyDescent="0.3">
      <c r="A59">
        <v>57</v>
      </c>
      <c r="B59">
        <v>7609</v>
      </c>
      <c r="C59">
        <v>48</v>
      </c>
      <c r="D59" s="5" t="str" cm="1">
        <f t="array" ref="D59">_xlfn.IFS(C59&lt;30, "20-29",C59&lt;40, "30-39",C59&lt;50, "40-49",C59&lt;60, "50-59",Table4[[#This Row],[Age]]&gt;=60, "60+"  )</f>
        <v>40-49</v>
      </c>
      <c r="E59" t="s">
        <v>11</v>
      </c>
      <c r="F59" t="b">
        <v>0</v>
      </c>
      <c r="G59" s="1">
        <v>32974</v>
      </c>
      <c r="H59">
        <v>24</v>
      </c>
      <c r="I59" s="5" t="str" cm="1">
        <f t="array" ref="I59">_xlfn.IFS(Table4[[#This Row],[Experience]]&lt;15, "7-15 YEARS",Table4[[#This Row],[Experience]]&lt;23, "15-23  YEARS",Table4[[#This Row],[Experience]]&lt;30, "23-30 YEARS",Table4[[#This Row],[Experience]]&gt;=30, "30+ YEARS")</f>
        <v>23-30 YEARS</v>
      </c>
      <c r="J59">
        <v>196599</v>
      </c>
      <c r="K59" s="5" t="str" cm="1">
        <f t="array" ref="K59">_xlfn.IFS(Table4[[#This Row],[Salary]]&lt;50000, "0-50K",Table4[[#This Row],[Salary]]&lt;100000, "50K-1L",Table4[[#This Row],[Salary]]&lt;150000, "1L-1.5L",Table4[[#This Row],[Salary]]&lt;200000, "1.5-2L",Table4[[#This Row],[Salary]]&gt;=200000, "2L+")</f>
        <v>1.5-2L</v>
      </c>
    </row>
    <row r="60" spans="1:11" x14ac:dyDescent="0.3">
      <c r="A60">
        <v>58</v>
      </c>
      <c r="B60">
        <v>4788</v>
      </c>
      <c r="C60">
        <v>53</v>
      </c>
      <c r="D60" s="5" t="str" cm="1">
        <f t="array" ref="D60">_xlfn.IFS(C60&lt;30, "20-29",C60&lt;40, "30-39",C60&lt;50, "40-49",C60&lt;60, "50-59",Table4[[#This Row],[Age]]&gt;=60, "60+"  )</f>
        <v>50-59</v>
      </c>
      <c r="E60" t="s">
        <v>9</v>
      </c>
      <c r="F60" t="b">
        <v>0</v>
      </c>
      <c r="G60" s="1">
        <v>31948</v>
      </c>
      <c r="H60">
        <v>25</v>
      </c>
      <c r="I60" s="5" t="str" cm="1">
        <f t="array" ref="I60">_xlfn.IFS(Table4[[#This Row],[Experience]]&lt;15, "7-15 YEARS",Table4[[#This Row],[Experience]]&lt;23, "15-23  YEARS",Table4[[#This Row],[Experience]]&lt;30, "23-30 YEARS",Table4[[#This Row],[Experience]]&gt;=30, "30+ YEARS")</f>
        <v>23-30 YEARS</v>
      </c>
      <c r="J60">
        <v>203758</v>
      </c>
      <c r="K60" s="5" t="str" cm="1">
        <f t="array" ref="K60">_xlfn.IFS(Table4[[#This Row],[Salary]]&lt;50000, "0-50K",Table4[[#This Row],[Salary]]&lt;100000, "50K-1L",Table4[[#This Row],[Salary]]&lt;150000, "1L-1.5L",Table4[[#This Row],[Salary]]&lt;200000, "1.5-2L",Table4[[#This Row],[Salary]]&gt;=200000, "2L+")</f>
        <v>2L+</v>
      </c>
    </row>
    <row r="61" spans="1:11" x14ac:dyDescent="0.3">
      <c r="A61">
        <v>59</v>
      </c>
      <c r="B61">
        <v>1607</v>
      </c>
      <c r="C61">
        <v>59</v>
      </c>
      <c r="D61" s="5" t="str" cm="1">
        <f t="array" ref="D61">_xlfn.IFS(C61&lt;30, "20-29",C61&lt;40, "30-39",C61&lt;50, "40-49",C61&lt;60, "50-59",Table4[[#This Row],[Age]]&gt;=60, "60+"  )</f>
        <v>50-59</v>
      </c>
      <c r="E61" t="s">
        <v>12</v>
      </c>
      <c r="F61" t="b">
        <v>1</v>
      </c>
      <c r="G61" s="1">
        <v>28052</v>
      </c>
      <c r="H61">
        <v>32</v>
      </c>
      <c r="I61" s="5" t="str" cm="1">
        <f t="array" ref="I61">_xlfn.IFS(Table4[[#This Row],[Experience]]&lt;15, "7-15 YEARS",Table4[[#This Row],[Experience]]&lt;23, "15-23  YEARS",Table4[[#This Row],[Experience]]&lt;30, "23-30 YEARS",Table4[[#This Row],[Experience]]&gt;=30, "30+ YEARS")</f>
        <v>30+ YEARS</v>
      </c>
      <c r="J61">
        <v>254771</v>
      </c>
      <c r="K61" s="5" t="str" cm="1">
        <f t="array" ref="K61">_xlfn.IFS(Table4[[#This Row],[Salary]]&lt;50000, "0-50K",Table4[[#This Row],[Salary]]&lt;100000, "50K-1L",Table4[[#This Row],[Salary]]&lt;150000, "1L-1.5L",Table4[[#This Row],[Salary]]&lt;200000, "1.5-2L",Table4[[#This Row],[Salary]]&gt;=200000, "2L+")</f>
        <v>2L+</v>
      </c>
    </row>
    <row r="62" spans="1:11" x14ac:dyDescent="0.3">
      <c r="A62">
        <v>60</v>
      </c>
      <c r="B62">
        <v>4605</v>
      </c>
      <c r="C62">
        <v>53</v>
      </c>
      <c r="D62" s="5" t="str" cm="1">
        <f t="array" ref="D62">_xlfn.IFS(C62&lt;30, "20-29",C62&lt;40, "30-39",C62&lt;50, "40-49",C62&lt;60, "50-59",Table4[[#This Row],[Age]]&gt;=60, "60+"  )</f>
        <v>50-59</v>
      </c>
      <c r="E62" t="s">
        <v>8</v>
      </c>
      <c r="F62" t="b">
        <v>1</v>
      </c>
      <c r="G62" s="1">
        <v>39709</v>
      </c>
      <c r="H62">
        <v>28</v>
      </c>
      <c r="I62" s="5" t="str" cm="1">
        <f t="array" ref="I62">_xlfn.IFS(Table4[[#This Row],[Experience]]&lt;15, "7-15 YEARS",Table4[[#This Row],[Experience]]&lt;23, "15-23  YEARS",Table4[[#This Row],[Experience]]&lt;30, "23-30 YEARS",Table4[[#This Row],[Experience]]&gt;=30, "30+ YEARS")</f>
        <v>23-30 YEARS</v>
      </c>
      <c r="J62">
        <v>221350</v>
      </c>
      <c r="K62" s="5" t="str" cm="1">
        <f t="array" ref="K62">_xlfn.IFS(Table4[[#This Row],[Salary]]&lt;50000, "0-50K",Table4[[#This Row],[Salary]]&lt;100000, "50K-1L",Table4[[#This Row],[Salary]]&lt;150000, "1L-1.5L",Table4[[#This Row],[Salary]]&lt;200000, "1.5-2L",Table4[[#This Row],[Salary]]&gt;=200000, "2L+")</f>
        <v>2L+</v>
      </c>
    </row>
    <row r="63" spans="1:11" x14ac:dyDescent="0.3">
      <c r="A63">
        <v>61</v>
      </c>
      <c r="B63">
        <v>9897</v>
      </c>
      <c r="C63">
        <v>60</v>
      </c>
      <c r="D63" s="5" t="str" cm="1">
        <f t="array" ref="D63">_xlfn.IFS(C63&lt;30, "20-29",C63&lt;40, "30-39",C63&lt;50, "40-49",C63&lt;60, "50-59",Table4[[#This Row],[Age]]&gt;=60, "60+"  )</f>
        <v>60+</v>
      </c>
      <c r="E63" t="s">
        <v>8</v>
      </c>
      <c r="F63" t="b">
        <v>0</v>
      </c>
      <c r="G63" s="1">
        <v>38220</v>
      </c>
      <c r="H63">
        <v>28</v>
      </c>
      <c r="I63" s="5" t="str" cm="1">
        <f t="array" ref="I63">_xlfn.IFS(Table4[[#This Row],[Experience]]&lt;15, "7-15 YEARS",Table4[[#This Row],[Experience]]&lt;23, "15-23  YEARS",Table4[[#This Row],[Experience]]&lt;30, "23-30 YEARS",Table4[[#This Row],[Experience]]&gt;=30, "30+ YEARS")</f>
        <v>23-30 YEARS</v>
      </c>
      <c r="J63">
        <v>227840</v>
      </c>
      <c r="K63" s="5" t="str" cm="1">
        <f t="array" ref="K63">_xlfn.IFS(Table4[[#This Row],[Salary]]&lt;50000, "0-50K",Table4[[#This Row],[Salary]]&lt;100000, "50K-1L",Table4[[#This Row],[Salary]]&lt;150000, "1L-1.5L",Table4[[#This Row],[Salary]]&lt;200000, "1.5-2L",Table4[[#This Row],[Salary]]&gt;=200000, "2L+")</f>
        <v>2L+</v>
      </c>
    </row>
    <row r="64" spans="1:11" x14ac:dyDescent="0.3">
      <c r="A64">
        <v>62</v>
      </c>
      <c r="B64">
        <v>6593</v>
      </c>
      <c r="C64">
        <v>30</v>
      </c>
      <c r="D64" s="5" t="str" cm="1">
        <f t="array" ref="D64">_xlfn.IFS(C64&lt;30, "20-29",C64&lt;40, "30-39",C64&lt;50, "40-49",C64&lt;60, "50-59",Table4[[#This Row],[Age]]&gt;=60, "60+"  )</f>
        <v>30-39</v>
      </c>
      <c r="E64" t="s">
        <v>8</v>
      </c>
      <c r="F64" t="b">
        <v>0</v>
      </c>
      <c r="G64" s="1">
        <v>39715</v>
      </c>
      <c r="H64">
        <v>15</v>
      </c>
      <c r="I64" s="5" t="str" cm="1">
        <f t="array" ref="I64">_xlfn.IFS(Table4[[#This Row],[Experience]]&lt;15, "7-15 YEARS",Table4[[#This Row],[Experience]]&lt;23, "15-23  YEARS",Table4[[#This Row],[Experience]]&lt;30, "23-30 YEARS",Table4[[#This Row],[Experience]]&gt;=30, "30+ YEARS")</f>
        <v>15-23  YEARS</v>
      </c>
      <c r="J64">
        <v>118126</v>
      </c>
      <c r="K64" s="5" t="str" cm="1">
        <f t="array" ref="K64">_xlfn.IFS(Table4[[#This Row],[Salary]]&lt;50000, "0-50K",Table4[[#This Row],[Salary]]&lt;100000, "50K-1L",Table4[[#This Row],[Salary]]&lt;150000, "1L-1.5L",Table4[[#This Row],[Salary]]&lt;200000, "1.5-2L",Table4[[#This Row],[Salary]]&gt;=200000, "2L+")</f>
        <v>1L-1.5L</v>
      </c>
    </row>
    <row r="65" spans="1:11" x14ac:dyDescent="0.3">
      <c r="A65">
        <v>63</v>
      </c>
      <c r="B65">
        <v>2340</v>
      </c>
      <c r="C65">
        <v>32</v>
      </c>
      <c r="D65" s="5" t="str" cm="1">
        <f t="array" ref="D65">_xlfn.IFS(C65&lt;30, "20-29",C65&lt;40, "30-39",C65&lt;50, "40-49",C65&lt;60, "50-59",Table4[[#This Row],[Age]]&gt;=60, "60+"  )</f>
        <v>30-39</v>
      </c>
      <c r="E65" t="s">
        <v>9</v>
      </c>
      <c r="F65" t="b">
        <v>0</v>
      </c>
      <c r="G65" s="1">
        <v>27851</v>
      </c>
      <c r="H65">
        <v>15</v>
      </c>
      <c r="I65" s="5" t="str" cm="1">
        <f t="array" ref="I65">_xlfn.IFS(Table4[[#This Row],[Experience]]&lt;15, "7-15 YEARS",Table4[[#This Row],[Experience]]&lt;23, "15-23  YEARS",Table4[[#This Row],[Experience]]&lt;30, "23-30 YEARS",Table4[[#This Row],[Experience]]&gt;=30, "30+ YEARS")</f>
        <v>15-23  YEARS</v>
      </c>
      <c r="J65">
        <v>124811</v>
      </c>
      <c r="K65" s="5" t="str" cm="1">
        <f t="array" ref="K65">_xlfn.IFS(Table4[[#This Row],[Salary]]&lt;50000, "0-50K",Table4[[#This Row],[Salary]]&lt;100000, "50K-1L",Table4[[#This Row],[Salary]]&lt;150000, "1L-1.5L",Table4[[#This Row],[Salary]]&lt;200000, "1.5-2L",Table4[[#This Row],[Salary]]&gt;=200000, "2L+")</f>
        <v>1L-1.5L</v>
      </c>
    </row>
    <row r="66" spans="1:11" x14ac:dyDescent="0.3">
      <c r="A66">
        <v>64</v>
      </c>
      <c r="B66">
        <v>5328</v>
      </c>
      <c r="C66">
        <v>34</v>
      </c>
      <c r="D66" s="5" t="str" cm="1">
        <f t="array" ref="D66">_xlfn.IFS(C66&lt;30, "20-29",C66&lt;40, "30-39",C66&lt;50, "40-49",C66&lt;60, "50-59",Table4[[#This Row],[Age]]&gt;=60, "60+"  )</f>
        <v>30-39</v>
      </c>
      <c r="E66" t="s">
        <v>12</v>
      </c>
      <c r="F66" t="b">
        <v>0</v>
      </c>
      <c r="G66" s="1">
        <v>38528</v>
      </c>
      <c r="H66">
        <v>17</v>
      </c>
      <c r="I66" s="5" t="str" cm="1">
        <f t="array" ref="I66">_xlfn.IFS(Table4[[#This Row],[Experience]]&lt;15, "7-15 YEARS",Table4[[#This Row],[Experience]]&lt;23, "15-23  YEARS",Table4[[#This Row],[Experience]]&lt;30, "23-30 YEARS",Table4[[#This Row],[Experience]]&gt;=30, "30+ YEARS")</f>
        <v>15-23  YEARS</v>
      </c>
      <c r="J66">
        <v>138134</v>
      </c>
      <c r="K66" s="5" t="str" cm="1">
        <f t="array" ref="K66">_xlfn.IFS(Table4[[#This Row],[Salary]]&lt;50000, "0-50K",Table4[[#This Row],[Salary]]&lt;100000, "50K-1L",Table4[[#This Row],[Salary]]&lt;150000, "1L-1.5L",Table4[[#This Row],[Salary]]&lt;200000, "1.5-2L",Table4[[#This Row],[Salary]]&gt;=200000, "2L+")</f>
        <v>1L-1.5L</v>
      </c>
    </row>
    <row r="67" spans="1:11" x14ac:dyDescent="0.3">
      <c r="A67">
        <v>65</v>
      </c>
      <c r="B67">
        <v>5037</v>
      </c>
      <c r="C67">
        <v>36</v>
      </c>
      <c r="D67" s="5" t="str" cm="1">
        <f t="array" ref="D67">_xlfn.IFS(C67&lt;30, "20-29",C67&lt;40, "30-39",C67&lt;50, "40-49",C67&lt;60, "50-59",Table4[[#This Row],[Age]]&gt;=60, "60+"  )</f>
        <v>30-39</v>
      </c>
      <c r="E67" t="s">
        <v>8</v>
      </c>
      <c r="F67" t="b">
        <v>0</v>
      </c>
      <c r="G67" s="1">
        <v>36671</v>
      </c>
      <c r="H67">
        <v>16</v>
      </c>
      <c r="I67" s="5" t="str" cm="1">
        <f t="array" ref="I67">_xlfn.IFS(Table4[[#This Row],[Experience]]&lt;15, "7-15 YEARS",Table4[[#This Row],[Experience]]&lt;23, "15-23  YEARS",Table4[[#This Row],[Experience]]&lt;30, "23-30 YEARS",Table4[[#This Row],[Experience]]&gt;=30, "30+ YEARS")</f>
        <v>15-23  YEARS</v>
      </c>
      <c r="J67">
        <v>127124</v>
      </c>
      <c r="K67" s="5" t="str" cm="1">
        <f t="array" ref="K67">_xlfn.IFS(Table4[[#This Row],[Salary]]&lt;50000, "0-50K",Table4[[#This Row],[Salary]]&lt;100000, "50K-1L",Table4[[#This Row],[Salary]]&lt;150000, "1L-1.5L",Table4[[#This Row],[Salary]]&lt;200000, "1.5-2L",Table4[[#This Row],[Salary]]&gt;=200000, "2L+")</f>
        <v>1L-1.5L</v>
      </c>
    </row>
    <row r="68" spans="1:11" x14ac:dyDescent="0.3">
      <c r="A68">
        <v>66</v>
      </c>
      <c r="B68">
        <v>4527</v>
      </c>
      <c r="C68">
        <v>44</v>
      </c>
      <c r="D68" s="5" t="str" cm="1">
        <f t="array" ref="D68">_xlfn.IFS(C68&lt;30, "20-29",C68&lt;40, "30-39",C68&lt;50, "40-49",C68&lt;60, "50-59",Table4[[#This Row],[Age]]&gt;=60, "60+"  )</f>
        <v>40-49</v>
      </c>
      <c r="E68" t="s">
        <v>9</v>
      </c>
      <c r="F68" t="b">
        <v>0</v>
      </c>
      <c r="G68" s="1">
        <v>27888</v>
      </c>
      <c r="H68">
        <v>19</v>
      </c>
      <c r="I68" s="5" t="str" cm="1">
        <f t="array" ref="I68">_xlfn.IFS(Table4[[#This Row],[Experience]]&lt;15, "7-15 YEARS",Table4[[#This Row],[Experience]]&lt;23, "15-23  YEARS",Table4[[#This Row],[Experience]]&lt;30, "23-30 YEARS",Table4[[#This Row],[Experience]]&gt;=30, "30+ YEARS")</f>
        <v>15-23  YEARS</v>
      </c>
      <c r="J68">
        <v>151056</v>
      </c>
      <c r="K68" s="5" t="str" cm="1">
        <f t="array" ref="K68">_xlfn.IFS(Table4[[#This Row],[Salary]]&lt;50000, "0-50K",Table4[[#This Row],[Salary]]&lt;100000, "50K-1L",Table4[[#This Row],[Salary]]&lt;150000, "1L-1.5L",Table4[[#This Row],[Salary]]&lt;200000, "1.5-2L",Table4[[#This Row],[Salary]]&gt;=200000, "2L+")</f>
        <v>1.5-2L</v>
      </c>
    </row>
    <row r="69" spans="1:11" x14ac:dyDescent="0.3">
      <c r="A69">
        <v>67</v>
      </c>
      <c r="B69">
        <v>6286</v>
      </c>
      <c r="C69">
        <v>40</v>
      </c>
      <c r="D69" s="5" t="str" cm="1">
        <f t="array" ref="D69">_xlfn.IFS(C69&lt;30, "20-29",C69&lt;40, "30-39",C69&lt;50, "40-49",C69&lt;60, "50-59",Table4[[#This Row],[Age]]&gt;=60, "60+"  )</f>
        <v>40-49</v>
      </c>
      <c r="E69" t="s">
        <v>8</v>
      </c>
      <c r="F69" t="b">
        <v>0</v>
      </c>
      <c r="G69" s="1">
        <v>37428</v>
      </c>
      <c r="H69">
        <v>18</v>
      </c>
      <c r="I69" s="5" t="str" cm="1">
        <f t="array" ref="I69">_xlfn.IFS(Table4[[#This Row],[Experience]]&lt;15, "7-15 YEARS",Table4[[#This Row],[Experience]]&lt;23, "15-23  YEARS",Table4[[#This Row],[Experience]]&lt;30, "23-30 YEARS",Table4[[#This Row],[Experience]]&gt;=30, "30+ YEARS")</f>
        <v>15-23  YEARS</v>
      </c>
      <c r="J69">
        <v>135177</v>
      </c>
      <c r="K69" s="5" t="str" cm="1">
        <f t="array" ref="K69">_xlfn.IFS(Table4[[#This Row],[Salary]]&lt;50000, "0-50K",Table4[[#This Row],[Salary]]&lt;100000, "50K-1L",Table4[[#This Row],[Salary]]&lt;150000, "1L-1.5L",Table4[[#This Row],[Salary]]&lt;200000, "1.5-2L",Table4[[#This Row],[Salary]]&gt;=200000, "2L+")</f>
        <v>1L-1.5L</v>
      </c>
    </row>
    <row r="70" spans="1:11" x14ac:dyDescent="0.3">
      <c r="A70">
        <v>68</v>
      </c>
      <c r="B70">
        <v>3154</v>
      </c>
      <c r="C70">
        <v>31</v>
      </c>
      <c r="D70" s="5" t="str" cm="1">
        <f t="array" ref="D70">_xlfn.IFS(C70&lt;30, "20-29",C70&lt;40, "30-39",C70&lt;50, "40-49",C70&lt;60, "50-59",Table4[[#This Row],[Age]]&gt;=60, "60+"  )</f>
        <v>30-39</v>
      </c>
      <c r="E70" t="s">
        <v>10</v>
      </c>
      <c r="F70" t="b">
        <v>1</v>
      </c>
      <c r="G70" s="1">
        <v>35458</v>
      </c>
      <c r="H70">
        <v>12</v>
      </c>
      <c r="I70" s="5" t="str" cm="1">
        <f t="array" ref="I70">_xlfn.IFS(Table4[[#This Row],[Experience]]&lt;15, "7-15 YEARS",Table4[[#This Row],[Experience]]&lt;23, "15-23  YEARS",Table4[[#This Row],[Experience]]&lt;30, "23-30 YEARS",Table4[[#This Row],[Experience]]&gt;=30, "30+ YEARS")</f>
        <v>7-15 YEARS</v>
      </c>
      <c r="J70">
        <v>99214</v>
      </c>
      <c r="K70" s="5" t="str" cm="1">
        <f t="array" ref="K70">_xlfn.IFS(Table4[[#This Row],[Salary]]&lt;50000, "0-50K",Table4[[#This Row],[Salary]]&lt;100000, "50K-1L",Table4[[#This Row],[Salary]]&lt;150000, "1L-1.5L",Table4[[#This Row],[Salary]]&lt;200000, "1.5-2L",Table4[[#This Row],[Salary]]&gt;=200000, "2L+")</f>
        <v>50K-1L</v>
      </c>
    </row>
    <row r="71" spans="1:11" x14ac:dyDescent="0.3">
      <c r="A71">
        <v>69</v>
      </c>
      <c r="B71">
        <v>9819</v>
      </c>
      <c r="C71">
        <v>35</v>
      </c>
      <c r="D71" s="5" t="str" cm="1">
        <f t="array" ref="D71">_xlfn.IFS(C71&lt;30, "20-29",C71&lt;40, "30-39",C71&lt;50, "40-49",C71&lt;60, "50-59",Table4[[#This Row],[Age]]&gt;=60, "60+"  )</f>
        <v>30-39</v>
      </c>
      <c r="E71" t="s">
        <v>9</v>
      </c>
      <c r="F71" t="b">
        <v>0</v>
      </c>
      <c r="G71" s="1">
        <v>43681</v>
      </c>
      <c r="H71">
        <v>17</v>
      </c>
      <c r="I71" s="5" t="str" cm="1">
        <f t="array" ref="I71">_xlfn.IFS(Table4[[#This Row],[Experience]]&lt;15, "7-15 YEARS",Table4[[#This Row],[Experience]]&lt;23, "15-23  YEARS",Table4[[#This Row],[Experience]]&lt;30, "23-30 YEARS",Table4[[#This Row],[Experience]]&gt;=30, "30+ YEARS")</f>
        <v>15-23  YEARS</v>
      </c>
      <c r="J71">
        <v>133866</v>
      </c>
      <c r="K71" s="5" t="str" cm="1">
        <f t="array" ref="K71">_xlfn.IFS(Table4[[#This Row],[Salary]]&lt;50000, "0-50K",Table4[[#This Row],[Salary]]&lt;100000, "50K-1L",Table4[[#This Row],[Salary]]&lt;150000, "1L-1.5L",Table4[[#This Row],[Salary]]&lt;200000, "1.5-2L",Table4[[#This Row],[Salary]]&gt;=200000, "2L+")</f>
        <v>1L-1.5L</v>
      </c>
    </row>
    <row r="72" spans="1:11" x14ac:dyDescent="0.3">
      <c r="A72">
        <v>70</v>
      </c>
      <c r="B72">
        <v>3438</v>
      </c>
      <c r="C72">
        <v>32</v>
      </c>
      <c r="D72" s="5" t="str" cm="1">
        <f t="array" ref="D72">_xlfn.IFS(C72&lt;30, "20-29",C72&lt;40, "30-39",C72&lt;50, "40-49",C72&lt;60, "50-59",Table4[[#This Row],[Age]]&gt;=60, "60+"  )</f>
        <v>30-39</v>
      </c>
      <c r="E72" t="s">
        <v>12</v>
      </c>
      <c r="F72" t="b">
        <v>1</v>
      </c>
      <c r="G72" s="1">
        <v>27184</v>
      </c>
      <c r="H72">
        <v>16</v>
      </c>
      <c r="I72" s="5" t="str" cm="1">
        <f t="array" ref="I72">_xlfn.IFS(Table4[[#This Row],[Experience]]&lt;15, "7-15 YEARS",Table4[[#This Row],[Experience]]&lt;23, "15-23  YEARS",Table4[[#This Row],[Experience]]&lt;30, "23-30 YEARS",Table4[[#This Row],[Experience]]&gt;=30, "30+ YEARS")</f>
        <v>15-23  YEARS</v>
      </c>
      <c r="J72">
        <v>127570</v>
      </c>
      <c r="K72" s="5" t="str" cm="1">
        <f t="array" ref="K72">_xlfn.IFS(Table4[[#This Row],[Salary]]&lt;50000, "0-50K",Table4[[#This Row],[Salary]]&lt;100000, "50K-1L",Table4[[#This Row],[Salary]]&lt;150000, "1L-1.5L",Table4[[#This Row],[Salary]]&lt;200000, "1.5-2L",Table4[[#This Row],[Salary]]&gt;=200000, "2L+")</f>
        <v>1L-1.5L</v>
      </c>
    </row>
    <row r="73" spans="1:11" x14ac:dyDescent="0.3">
      <c r="A73">
        <v>71</v>
      </c>
      <c r="B73">
        <v>8337</v>
      </c>
      <c r="C73">
        <v>35</v>
      </c>
      <c r="D73" s="5" t="str" cm="1">
        <f t="array" ref="D73">_xlfn.IFS(C73&lt;30, "20-29",C73&lt;40, "30-39",C73&lt;50, "40-49",C73&lt;60, "50-59",Table4[[#This Row],[Age]]&gt;=60, "60+"  )</f>
        <v>30-39</v>
      </c>
      <c r="E73" t="s">
        <v>11</v>
      </c>
      <c r="F73" t="b">
        <v>1</v>
      </c>
      <c r="G73" s="1">
        <v>33369</v>
      </c>
      <c r="H73">
        <v>19</v>
      </c>
      <c r="I73" s="5" t="str" cm="1">
        <f t="array" ref="I73">_xlfn.IFS(Table4[[#This Row],[Experience]]&lt;15, "7-15 YEARS",Table4[[#This Row],[Experience]]&lt;23, "15-23  YEARS",Table4[[#This Row],[Experience]]&lt;30, "23-30 YEARS",Table4[[#This Row],[Experience]]&gt;=30, "30+ YEARS")</f>
        <v>15-23  YEARS</v>
      </c>
      <c r="J73">
        <v>140250</v>
      </c>
      <c r="K73" s="5" t="str" cm="1">
        <f t="array" ref="K73">_xlfn.IFS(Table4[[#This Row],[Salary]]&lt;50000, "0-50K",Table4[[#This Row],[Salary]]&lt;100000, "50K-1L",Table4[[#This Row],[Salary]]&lt;150000, "1L-1.5L",Table4[[#This Row],[Salary]]&lt;200000, "1.5-2L",Table4[[#This Row],[Salary]]&gt;=200000, "2L+")</f>
        <v>1L-1.5L</v>
      </c>
    </row>
    <row r="74" spans="1:11" x14ac:dyDescent="0.3">
      <c r="A74">
        <v>72</v>
      </c>
      <c r="B74">
        <v>7233</v>
      </c>
      <c r="C74">
        <v>51</v>
      </c>
      <c r="D74" s="5" t="str" cm="1">
        <f t="array" ref="D74">_xlfn.IFS(C74&lt;30, "20-29",C74&lt;40, "30-39",C74&lt;50, "40-49",C74&lt;60, "50-59",Table4[[#This Row],[Age]]&gt;=60, "60+"  )</f>
        <v>50-59</v>
      </c>
      <c r="E74" t="s">
        <v>9</v>
      </c>
      <c r="F74" t="b">
        <v>0</v>
      </c>
      <c r="G74" s="1">
        <v>33641</v>
      </c>
      <c r="H74">
        <v>27</v>
      </c>
      <c r="I74" s="5" t="str" cm="1">
        <f t="array" ref="I74">_xlfn.IFS(Table4[[#This Row],[Experience]]&lt;15, "7-15 YEARS",Table4[[#This Row],[Experience]]&lt;23, "15-23  YEARS",Table4[[#This Row],[Experience]]&lt;30, "23-30 YEARS",Table4[[#This Row],[Experience]]&gt;=30, "30+ YEARS")</f>
        <v>23-30 YEARS</v>
      </c>
      <c r="J74">
        <v>212800</v>
      </c>
      <c r="K74" s="5" t="str" cm="1">
        <f t="array" ref="K74">_xlfn.IFS(Table4[[#This Row],[Salary]]&lt;50000, "0-50K",Table4[[#This Row],[Salary]]&lt;100000, "50K-1L",Table4[[#This Row],[Salary]]&lt;150000, "1L-1.5L",Table4[[#This Row],[Salary]]&lt;200000, "1.5-2L",Table4[[#This Row],[Salary]]&gt;=200000, "2L+")</f>
        <v>2L+</v>
      </c>
    </row>
    <row r="75" spans="1:11" x14ac:dyDescent="0.3">
      <c r="A75">
        <v>73</v>
      </c>
      <c r="B75">
        <v>7073</v>
      </c>
      <c r="C75">
        <v>50</v>
      </c>
      <c r="D75" s="5" t="str" cm="1">
        <f t="array" ref="D75">_xlfn.IFS(C75&lt;30, "20-29",C75&lt;40, "30-39",C75&lt;50, "40-49",C75&lt;60, "50-59",Table4[[#This Row],[Age]]&gt;=60, "60+"  )</f>
        <v>50-59</v>
      </c>
      <c r="E75" t="s">
        <v>11</v>
      </c>
      <c r="F75" t="b">
        <v>0</v>
      </c>
      <c r="G75" s="1">
        <v>33851</v>
      </c>
      <c r="H75">
        <v>23</v>
      </c>
      <c r="I75" s="5" t="str" cm="1">
        <f t="array" ref="I75">_xlfn.IFS(Table4[[#This Row],[Experience]]&lt;15, "7-15 YEARS",Table4[[#This Row],[Experience]]&lt;23, "15-23  YEARS",Table4[[#This Row],[Experience]]&lt;30, "23-30 YEARS",Table4[[#This Row],[Experience]]&gt;=30, "30+ YEARS")</f>
        <v>23-30 YEARS</v>
      </c>
      <c r="J75">
        <v>191346</v>
      </c>
      <c r="K75" s="5" t="str" cm="1">
        <f t="array" ref="K75">_xlfn.IFS(Table4[[#This Row],[Salary]]&lt;50000, "0-50K",Table4[[#This Row],[Salary]]&lt;100000, "50K-1L",Table4[[#This Row],[Salary]]&lt;150000, "1L-1.5L",Table4[[#This Row],[Salary]]&lt;200000, "1.5-2L",Table4[[#This Row],[Salary]]&gt;=200000, "2L+")</f>
        <v>1.5-2L</v>
      </c>
    </row>
    <row r="76" spans="1:11" x14ac:dyDescent="0.3">
      <c r="A76">
        <v>74</v>
      </c>
      <c r="B76">
        <v>6850</v>
      </c>
      <c r="C76">
        <v>36</v>
      </c>
      <c r="D76" s="5" t="str" cm="1">
        <f t="array" ref="D76">_xlfn.IFS(C76&lt;30, "20-29",C76&lt;40, "30-39",C76&lt;50, "40-49",C76&lt;60, "50-59",Table4[[#This Row],[Age]]&gt;=60, "60+"  )</f>
        <v>30-39</v>
      </c>
      <c r="E76" t="s">
        <v>10</v>
      </c>
      <c r="F76" t="b">
        <v>1</v>
      </c>
      <c r="G76" s="1">
        <v>35513</v>
      </c>
      <c r="H76">
        <v>20</v>
      </c>
      <c r="I76" s="5" t="str" cm="1">
        <f t="array" ref="I76">_xlfn.IFS(Table4[[#This Row],[Experience]]&lt;15, "7-15 YEARS",Table4[[#This Row],[Experience]]&lt;23, "15-23  YEARS",Table4[[#This Row],[Experience]]&lt;30, "23-30 YEARS",Table4[[#This Row],[Experience]]&gt;=30, "30+ YEARS")</f>
        <v>15-23  YEARS</v>
      </c>
      <c r="J76">
        <v>160278</v>
      </c>
      <c r="K76" s="5" t="str" cm="1">
        <f t="array" ref="K76">_xlfn.IFS(Table4[[#This Row],[Salary]]&lt;50000, "0-50K",Table4[[#This Row],[Salary]]&lt;100000, "50K-1L",Table4[[#This Row],[Salary]]&lt;150000, "1L-1.5L",Table4[[#This Row],[Salary]]&lt;200000, "1.5-2L",Table4[[#This Row],[Salary]]&gt;=200000, "2L+")</f>
        <v>1.5-2L</v>
      </c>
    </row>
    <row r="77" spans="1:11" x14ac:dyDescent="0.3">
      <c r="A77">
        <v>75</v>
      </c>
      <c r="B77">
        <v>7191</v>
      </c>
      <c r="C77">
        <v>52</v>
      </c>
      <c r="D77" s="5" t="str" cm="1">
        <f t="array" ref="D77">_xlfn.IFS(C77&lt;30, "20-29",C77&lt;40, "30-39",C77&lt;50, "40-49",C77&lt;60, "50-59",Table4[[#This Row],[Age]]&gt;=60, "60+"  )</f>
        <v>50-59</v>
      </c>
      <c r="E77" t="s">
        <v>9</v>
      </c>
      <c r="F77" t="b">
        <v>1</v>
      </c>
      <c r="G77" s="1">
        <v>30446</v>
      </c>
      <c r="H77">
        <v>27</v>
      </c>
      <c r="I77" s="5" t="str" cm="1">
        <f t="array" ref="I77">_xlfn.IFS(Table4[[#This Row],[Experience]]&lt;15, "7-15 YEARS",Table4[[#This Row],[Experience]]&lt;23, "15-23  YEARS",Table4[[#This Row],[Experience]]&lt;30, "23-30 YEARS",Table4[[#This Row],[Experience]]&gt;=30, "30+ YEARS")</f>
        <v>23-30 YEARS</v>
      </c>
      <c r="J77">
        <v>217985</v>
      </c>
      <c r="K77" s="5" t="str" cm="1">
        <f t="array" ref="K77">_xlfn.IFS(Table4[[#This Row],[Salary]]&lt;50000, "0-50K",Table4[[#This Row],[Salary]]&lt;100000, "50K-1L",Table4[[#This Row],[Salary]]&lt;150000, "1L-1.5L",Table4[[#This Row],[Salary]]&lt;200000, "1.5-2L",Table4[[#This Row],[Salary]]&gt;=200000, "2L+")</f>
        <v>2L+</v>
      </c>
    </row>
    <row r="78" spans="1:11" x14ac:dyDescent="0.3">
      <c r="A78">
        <v>76</v>
      </c>
      <c r="B78">
        <v>5208</v>
      </c>
      <c r="C78">
        <v>36</v>
      </c>
      <c r="D78" s="5" t="str" cm="1">
        <f t="array" ref="D78">_xlfn.IFS(C78&lt;30, "20-29",C78&lt;40, "30-39",C78&lt;50, "40-49",C78&lt;60, "50-59",Table4[[#This Row],[Age]]&gt;=60, "60+"  )</f>
        <v>30-39</v>
      </c>
      <c r="E78" t="s">
        <v>12</v>
      </c>
      <c r="F78" t="b">
        <v>1</v>
      </c>
      <c r="G78" s="1">
        <v>44911</v>
      </c>
      <c r="H78">
        <v>20</v>
      </c>
      <c r="I78" s="5" t="str" cm="1">
        <f t="array" ref="I78">_xlfn.IFS(Table4[[#This Row],[Experience]]&lt;15, "7-15 YEARS",Table4[[#This Row],[Experience]]&lt;23, "15-23  YEARS",Table4[[#This Row],[Experience]]&lt;30, "23-30 YEARS",Table4[[#This Row],[Experience]]&gt;=30, "30+ YEARS")</f>
        <v>15-23  YEARS</v>
      </c>
      <c r="J78">
        <v>172798</v>
      </c>
      <c r="K78" s="5" t="str" cm="1">
        <f t="array" ref="K78">_xlfn.IFS(Table4[[#This Row],[Salary]]&lt;50000, "0-50K",Table4[[#This Row],[Salary]]&lt;100000, "50K-1L",Table4[[#This Row],[Salary]]&lt;150000, "1L-1.5L",Table4[[#This Row],[Salary]]&lt;200000, "1.5-2L",Table4[[#This Row],[Salary]]&gt;=200000, "2L+")</f>
        <v>1.5-2L</v>
      </c>
    </row>
    <row r="79" spans="1:11" x14ac:dyDescent="0.3">
      <c r="A79">
        <v>77</v>
      </c>
      <c r="B79">
        <v>5116</v>
      </c>
      <c r="C79">
        <v>26</v>
      </c>
      <c r="D79" s="5" t="str" cm="1">
        <f t="array" ref="D79">_xlfn.IFS(C79&lt;30, "20-29",C79&lt;40, "30-39",C79&lt;50, "40-49",C79&lt;60, "50-59",Table4[[#This Row],[Age]]&gt;=60, "60+"  )</f>
        <v>20-29</v>
      </c>
      <c r="E79" t="s">
        <v>12</v>
      </c>
      <c r="F79" t="b">
        <v>0</v>
      </c>
      <c r="G79" s="1">
        <v>25987</v>
      </c>
      <c r="H79">
        <v>15</v>
      </c>
      <c r="I79" s="5" t="str" cm="1">
        <f t="array" ref="I79">_xlfn.IFS(Table4[[#This Row],[Experience]]&lt;15, "7-15 YEARS",Table4[[#This Row],[Experience]]&lt;23, "15-23  YEARS",Table4[[#This Row],[Experience]]&lt;30, "23-30 YEARS",Table4[[#This Row],[Experience]]&gt;=30, "30+ YEARS")</f>
        <v>15-23  YEARS</v>
      </c>
      <c r="J79">
        <v>120869</v>
      </c>
      <c r="K79" s="5" t="str" cm="1">
        <f t="array" ref="K79">_xlfn.IFS(Table4[[#This Row],[Salary]]&lt;50000, "0-50K",Table4[[#This Row],[Salary]]&lt;100000, "50K-1L",Table4[[#This Row],[Salary]]&lt;150000, "1L-1.5L",Table4[[#This Row],[Salary]]&lt;200000, "1.5-2L",Table4[[#This Row],[Salary]]&gt;=200000, "2L+")</f>
        <v>1L-1.5L</v>
      </c>
    </row>
    <row r="80" spans="1:11" x14ac:dyDescent="0.3">
      <c r="A80">
        <v>78</v>
      </c>
      <c r="B80">
        <v>6328</v>
      </c>
      <c r="C80">
        <v>45</v>
      </c>
      <c r="D80" s="5" t="str" cm="1">
        <f t="array" ref="D80">_xlfn.IFS(C80&lt;30, "20-29",C80&lt;40, "30-39",C80&lt;50, "40-49",C80&lt;60, "50-59",Table4[[#This Row],[Age]]&gt;=60, "60+"  )</f>
        <v>40-49</v>
      </c>
      <c r="E80" t="s">
        <v>9</v>
      </c>
      <c r="F80" t="b">
        <v>1</v>
      </c>
      <c r="G80" s="1">
        <v>29280</v>
      </c>
      <c r="H80">
        <v>23</v>
      </c>
      <c r="I80" s="5" t="str" cm="1">
        <f t="array" ref="I80">_xlfn.IFS(Table4[[#This Row],[Experience]]&lt;15, "7-15 YEARS",Table4[[#This Row],[Experience]]&lt;23, "15-23  YEARS",Table4[[#This Row],[Experience]]&lt;30, "23-30 YEARS",Table4[[#This Row],[Experience]]&gt;=30, "30+ YEARS")</f>
        <v>23-30 YEARS</v>
      </c>
      <c r="J80">
        <v>186135</v>
      </c>
      <c r="K80" s="5" t="str" cm="1">
        <f t="array" ref="K80">_xlfn.IFS(Table4[[#This Row],[Salary]]&lt;50000, "0-50K",Table4[[#This Row],[Salary]]&lt;100000, "50K-1L",Table4[[#This Row],[Salary]]&lt;150000, "1L-1.5L",Table4[[#This Row],[Salary]]&lt;200000, "1.5-2L",Table4[[#This Row],[Salary]]&gt;=200000, "2L+")</f>
        <v>1.5-2L</v>
      </c>
    </row>
    <row r="81" spans="1:11" x14ac:dyDescent="0.3">
      <c r="A81">
        <v>79</v>
      </c>
      <c r="B81">
        <v>3538</v>
      </c>
      <c r="C81">
        <v>27</v>
      </c>
      <c r="D81" s="5" t="str" cm="1">
        <f t="array" ref="D81">_xlfn.IFS(C81&lt;30, "20-29",C81&lt;40, "30-39",C81&lt;50, "40-49",C81&lt;60, "50-59",Table4[[#This Row],[Age]]&gt;=60, "60+"  )</f>
        <v>20-29</v>
      </c>
      <c r="E81" t="s">
        <v>11</v>
      </c>
      <c r="F81" t="b">
        <v>0</v>
      </c>
      <c r="G81" s="1">
        <v>41441</v>
      </c>
      <c r="H81">
        <v>12</v>
      </c>
      <c r="I81" s="5" t="str" cm="1">
        <f t="array" ref="I81">_xlfn.IFS(Table4[[#This Row],[Experience]]&lt;15, "7-15 YEARS",Table4[[#This Row],[Experience]]&lt;23, "15-23  YEARS",Table4[[#This Row],[Experience]]&lt;30, "23-30 YEARS",Table4[[#This Row],[Experience]]&gt;=30, "30+ YEARS")</f>
        <v>7-15 YEARS</v>
      </c>
      <c r="J81">
        <v>107313</v>
      </c>
      <c r="K81" s="5" t="str" cm="1">
        <f t="array" ref="K81">_xlfn.IFS(Table4[[#This Row],[Salary]]&lt;50000, "0-50K",Table4[[#This Row],[Salary]]&lt;100000, "50K-1L",Table4[[#This Row],[Salary]]&lt;150000, "1L-1.5L",Table4[[#This Row],[Salary]]&lt;200000, "1.5-2L",Table4[[#This Row],[Salary]]&gt;=200000, "2L+")</f>
        <v>1L-1.5L</v>
      </c>
    </row>
    <row r="82" spans="1:11" x14ac:dyDescent="0.3">
      <c r="A82">
        <v>80</v>
      </c>
      <c r="B82">
        <v>5826</v>
      </c>
      <c r="C82">
        <v>48</v>
      </c>
      <c r="D82" s="5" t="str" cm="1">
        <f t="array" ref="D82">_xlfn.IFS(C82&lt;30, "20-29",C82&lt;40, "30-39",C82&lt;50, "40-49",C82&lt;60, "50-59",Table4[[#This Row],[Age]]&gt;=60, "60+"  )</f>
        <v>40-49</v>
      </c>
      <c r="E82" t="s">
        <v>11</v>
      </c>
      <c r="F82" t="b">
        <v>0</v>
      </c>
      <c r="G82" s="1">
        <v>27334</v>
      </c>
      <c r="H82">
        <v>23</v>
      </c>
      <c r="I82" s="5" t="str" cm="1">
        <f t="array" ref="I82">_xlfn.IFS(Table4[[#This Row],[Experience]]&lt;15, "7-15 YEARS",Table4[[#This Row],[Experience]]&lt;23, "15-23  YEARS",Table4[[#This Row],[Experience]]&lt;30, "23-30 YEARS",Table4[[#This Row],[Experience]]&gt;=30, "30+ YEARS")</f>
        <v>23-30 YEARS</v>
      </c>
      <c r="J82">
        <v>189726</v>
      </c>
      <c r="K82" s="5" t="str" cm="1">
        <f t="array" ref="K82">_xlfn.IFS(Table4[[#This Row],[Salary]]&lt;50000, "0-50K",Table4[[#This Row],[Salary]]&lt;100000, "50K-1L",Table4[[#This Row],[Salary]]&lt;150000, "1L-1.5L",Table4[[#This Row],[Salary]]&lt;200000, "1.5-2L",Table4[[#This Row],[Salary]]&gt;=200000, "2L+")</f>
        <v>1.5-2L</v>
      </c>
    </row>
    <row r="83" spans="1:11" x14ac:dyDescent="0.3">
      <c r="A83">
        <v>81</v>
      </c>
      <c r="B83">
        <v>6108</v>
      </c>
      <c r="C83">
        <v>45</v>
      </c>
      <c r="D83" s="5" t="str" cm="1">
        <f t="array" ref="D83">_xlfn.IFS(C83&lt;30, "20-29",C83&lt;40, "30-39",C83&lt;50, "40-49",C83&lt;60, "50-59",Table4[[#This Row],[Age]]&gt;=60, "60+"  )</f>
        <v>40-49</v>
      </c>
      <c r="E83" t="s">
        <v>11</v>
      </c>
      <c r="F83" t="b">
        <v>1</v>
      </c>
      <c r="G83" s="1">
        <v>41237</v>
      </c>
      <c r="H83">
        <v>21</v>
      </c>
      <c r="I83" s="5" t="str" cm="1">
        <f t="array" ref="I83">_xlfn.IFS(Table4[[#This Row],[Experience]]&lt;15, "7-15 YEARS",Table4[[#This Row],[Experience]]&lt;23, "15-23  YEARS",Table4[[#This Row],[Experience]]&lt;30, "23-30 YEARS",Table4[[#This Row],[Experience]]&gt;=30, "30+ YEARS")</f>
        <v>15-23  YEARS</v>
      </c>
      <c r="J83">
        <v>171530</v>
      </c>
      <c r="K83" s="5" t="str" cm="1">
        <f t="array" ref="K83">_xlfn.IFS(Table4[[#This Row],[Salary]]&lt;50000, "0-50K",Table4[[#This Row],[Salary]]&lt;100000, "50K-1L",Table4[[#This Row],[Salary]]&lt;150000, "1L-1.5L",Table4[[#This Row],[Salary]]&lt;200000, "1.5-2L",Table4[[#This Row],[Salary]]&gt;=200000, "2L+")</f>
        <v>1.5-2L</v>
      </c>
    </row>
    <row r="84" spans="1:11" x14ac:dyDescent="0.3">
      <c r="A84">
        <v>82</v>
      </c>
      <c r="B84">
        <v>2867</v>
      </c>
      <c r="C84">
        <v>64</v>
      </c>
      <c r="D84" s="5" t="str" cm="1">
        <f t="array" ref="D84">_xlfn.IFS(C84&lt;30, "20-29",C84&lt;40, "30-39",C84&lt;50, "40-49",C84&lt;60, "50-59",Table4[[#This Row],[Age]]&gt;=60, "60+"  )</f>
        <v>60+</v>
      </c>
      <c r="E84" t="s">
        <v>10</v>
      </c>
      <c r="F84" t="b">
        <v>0</v>
      </c>
      <c r="G84" s="1">
        <v>42227</v>
      </c>
      <c r="H84">
        <v>34</v>
      </c>
      <c r="I84" s="5" t="str" cm="1">
        <f t="array" ref="I84">_xlfn.IFS(Table4[[#This Row],[Experience]]&lt;15, "7-15 YEARS",Table4[[#This Row],[Experience]]&lt;23, "15-23  YEARS",Table4[[#This Row],[Experience]]&lt;30, "23-30 YEARS",Table4[[#This Row],[Experience]]&gt;=30, "30+ YEARS")</f>
        <v>30+ YEARS</v>
      </c>
      <c r="J84">
        <v>271935</v>
      </c>
      <c r="K84" s="5" t="str" cm="1">
        <f t="array" ref="K84">_xlfn.IFS(Table4[[#This Row],[Salary]]&lt;50000, "0-50K",Table4[[#This Row],[Salary]]&lt;100000, "50K-1L",Table4[[#This Row],[Salary]]&lt;150000, "1L-1.5L",Table4[[#This Row],[Salary]]&lt;200000, "1.5-2L",Table4[[#This Row],[Salary]]&gt;=200000, "2L+")</f>
        <v>2L+</v>
      </c>
    </row>
    <row r="85" spans="1:11" x14ac:dyDescent="0.3">
      <c r="A85">
        <v>83</v>
      </c>
      <c r="B85">
        <v>4495</v>
      </c>
      <c r="C85">
        <v>53</v>
      </c>
      <c r="D85" s="5" t="str" cm="1">
        <f t="array" ref="D85">_xlfn.IFS(C85&lt;30, "20-29",C85&lt;40, "30-39",C85&lt;50, "40-49",C85&lt;60, "50-59",Table4[[#This Row],[Age]]&gt;=60, "60+"  )</f>
        <v>50-59</v>
      </c>
      <c r="E85" t="s">
        <v>10</v>
      </c>
      <c r="F85" t="b">
        <v>1</v>
      </c>
      <c r="G85" s="1">
        <v>27962</v>
      </c>
      <c r="H85">
        <v>29</v>
      </c>
      <c r="I85" s="5" t="str" cm="1">
        <f t="array" ref="I85">_xlfn.IFS(Table4[[#This Row],[Experience]]&lt;15, "7-15 YEARS",Table4[[#This Row],[Experience]]&lt;23, "15-23  YEARS",Table4[[#This Row],[Experience]]&lt;30, "23-30 YEARS",Table4[[#This Row],[Experience]]&gt;=30, "30+ YEARS")</f>
        <v>23-30 YEARS</v>
      </c>
      <c r="J85">
        <v>234900</v>
      </c>
      <c r="K85" s="5" t="str" cm="1">
        <f t="array" ref="K85">_xlfn.IFS(Table4[[#This Row],[Salary]]&lt;50000, "0-50K",Table4[[#This Row],[Salary]]&lt;100000, "50K-1L",Table4[[#This Row],[Salary]]&lt;150000, "1L-1.5L",Table4[[#This Row],[Salary]]&lt;200000, "1.5-2L",Table4[[#This Row],[Salary]]&gt;=200000, "2L+")</f>
        <v>2L+</v>
      </c>
    </row>
    <row r="86" spans="1:11" x14ac:dyDescent="0.3">
      <c r="A86">
        <v>84</v>
      </c>
      <c r="B86">
        <v>9750</v>
      </c>
      <c r="C86">
        <v>49</v>
      </c>
      <c r="D86" s="5" t="str" cm="1">
        <f t="array" ref="D86">_xlfn.IFS(C86&lt;30, "20-29",C86&lt;40, "30-39",C86&lt;50, "40-49",C86&lt;60, "50-59",Table4[[#This Row],[Age]]&gt;=60, "60+"  )</f>
        <v>40-49</v>
      </c>
      <c r="E86" t="s">
        <v>8</v>
      </c>
      <c r="F86" t="b">
        <v>0</v>
      </c>
      <c r="G86" s="1">
        <v>39717</v>
      </c>
      <c r="H86">
        <v>23</v>
      </c>
      <c r="I86" s="5" t="str" cm="1">
        <f t="array" ref="I86">_xlfn.IFS(Table4[[#This Row],[Experience]]&lt;15, "7-15 YEARS",Table4[[#This Row],[Experience]]&lt;23, "15-23  YEARS",Table4[[#This Row],[Experience]]&lt;30, "23-30 YEARS",Table4[[#This Row],[Experience]]&gt;=30, "30+ YEARS")</f>
        <v>23-30 YEARS</v>
      </c>
      <c r="J86">
        <v>181290</v>
      </c>
      <c r="K86" s="5" t="str" cm="1">
        <f t="array" ref="K86">_xlfn.IFS(Table4[[#This Row],[Salary]]&lt;50000, "0-50K",Table4[[#This Row],[Salary]]&lt;100000, "50K-1L",Table4[[#This Row],[Salary]]&lt;150000, "1L-1.5L",Table4[[#This Row],[Salary]]&lt;200000, "1.5-2L",Table4[[#This Row],[Salary]]&gt;=200000, "2L+")</f>
        <v>1.5-2L</v>
      </c>
    </row>
    <row r="87" spans="1:11" x14ac:dyDescent="0.3">
      <c r="A87">
        <v>85</v>
      </c>
      <c r="B87">
        <v>9243</v>
      </c>
      <c r="C87">
        <v>60</v>
      </c>
      <c r="D87" s="5" t="str" cm="1">
        <f t="array" ref="D87">_xlfn.IFS(C87&lt;30, "20-29",C87&lt;40, "30-39",C87&lt;50, "40-49",C87&lt;60, "50-59",Table4[[#This Row],[Age]]&gt;=60, "60+"  )</f>
        <v>60+</v>
      </c>
      <c r="E87" t="s">
        <v>9</v>
      </c>
      <c r="F87" t="b">
        <v>0</v>
      </c>
      <c r="G87" s="1">
        <v>35165</v>
      </c>
      <c r="H87">
        <v>31</v>
      </c>
      <c r="I87" s="5" t="str" cm="1">
        <f t="array" ref="I87">_xlfn.IFS(Table4[[#This Row],[Experience]]&lt;15, "7-15 YEARS",Table4[[#This Row],[Experience]]&lt;23, "15-23  YEARS",Table4[[#This Row],[Experience]]&lt;30, "23-30 YEARS",Table4[[#This Row],[Experience]]&gt;=30, "30+ YEARS")</f>
        <v>30+ YEARS</v>
      </c>
      <c r="J87">
        <v>246555</v>
      </c>
      <c r="K87" s="5" t="str" cm="1">
        <f t="array" ref="K87">_xlfn.IFS(Table4[[#This Row],[Salary]]&lt;50000, "0-50K",Table4[[#This Row],[Salary]]&lt;100000, "50K-1L",Table4[[#This Row],[Salary]]&lt;150000, "1L-1.5L",Table4[[#This Row],[Salary]]&lt;200000, "1.5-2L",Table4[[#This Row],[Salary]]&gt;=200000, "2L+")</f>
        <v>2L+</v>
      </c>
    </row>
    <row r="88" spans="1:11" x14ac:dyDescent="0.3">
      <c r="A88">
        <v>86</v>
      </c>
      <c r="B88">
        <v>8462</v>
      </c>
      <c r="C88">
        <v>51</v>
      </c>
      <c r="D88" s="5" t="str" cm="1">
        <f t="array" ref="D88">_xlfn.IFS(C88&lt;30, "20-29",C88&lt;40, "30-39",C88&lt;50, "40-49",C88&lt;60, "50-59",Table4[[#This Row],[Age]]&gt;=60, "60+"  )</f>
        <v>50-59</v>
      </c>
      <c r="E88" t="s">
        <v>8</v>
      </c>
      <c r="F88" t="b">
        <v>1</v>
      </c>
      <c r="G88" s="1">
        <v>35533</v>
      </c>
      <c r="H88">
        <v>24</v>
      </c>
      <c r="I88" s="5" t="str" cm="1">
        <f t="array" ref="I88">_xlfn.IFS(Table4[[#This Row],[Experience]]&lt;15, "7-15 YEARS",Table4[[#This Row],[Experience]]&lt;23, "15-23  YEARS",Table4[[#This Row],[Experience]]&lt;30, "23-30 YEARS",Table4[[#This Row],[Experience]]&gt;=30, "30+ YEARS")</f>
        <v>23-30 YEARS</v>
      </c>
      <c r="J88">
        <v>191660</v>
      </c>
      <c r="K88" s="5" t="str" cm="1">
        <f t="array" ref="K88">_xlfn.IFS(Table4[[#This Row],[Salary]]&lt;50000, "0-50K",Table4[[#This Row],[Salary]]&lt;100000, "50K-1L",Table4[[#This Row],[Salary]]&lt;150000, "1L-1.5L",Table4[[#This Row],[Salary]]&lt;200000, "1.5-2L",Table4[[#This Row],[Salary]]&gt;=200000, "2L+")</f>
        <v>1.5-2L</v>
      </c>
    </row>
    <row r="89" spans="1:11" x14ac:dyDescent="0.3">
      <c r="A89">
        <v>87</v>
      </c>
      <c r="B89">
        <v>8247</v>
      </c>
      <c r="C89">
        <v>22</v>
      </c>
      <c r="D89" s="5" t="str" cm="1">
        <f t="array" ref="D89">_xlfn.IFS(C89&lt;30, "20-29",C89&lt;40, "30-39",C89&lt;50, "40-49",C89&lt;60, "50-59",Table4[[#This Row],[Age]]&gt;=60, "60+"  )</f>
        <v>20-29</v>
      </c>
      <c r="E89" t="s">
        <v>9</v>
      </c>
      <c r="F89" t="b">
        <v>1</v>
      </c>
      <c r="G89" s="1">
        <v>38128</v>
      </c>
      <c r="H89">
        <v>14</v>
      </c>
      <c r="I89" s="5" t="str" cm="1">
        <f t="array" ref="I89">_xlfn.IFS(Table4[[#This Row],[Experience]]&lt;15, "7-15 YEARS",Table4[[#This Row],[Experience]]&lt;23, "15-23  YEARS",Table4[[#This Row],[Experience]]&lt;30, "23-30 YEARS",Table4[[#This Row],[Experience]]&gt;=30, "30+ YEARS")</f>
        <v>7-15 YEARS</v>
      </c>
      <c r="J89">
        <v>111511</v>
      </c>
      <c r="K89" s="5" t="str" cm="1">
        <f t="array" ref="K89">_xlfn.IFS(Table4[[#This Row],[Salary]]&lt;50000, "0-50K",Table4[[#This Row],[Salary]]&lt;100000, "50K-1L",Table4[[#This Row],[Salary]]&lt;150000, "1L-1.5L",Table4[[#This Row],[Salary]]&lt;200000, "1.5-2L",Table4[[#This Row],[Salary]]&gt;=200000, "2L+")</f>
        <v>1L-1.5L</v>
      </c>
    </row>
    <row r="90" spans="1:11" x14ac:dyDescent="0.3">
      <c r="A90">
        <v>88</v>
      </c>
      <c r="B90">
        <v>3054</v>
      </c>
      <c r="C90">
        <v>43</v>
      </c>
      <c r="D90" s="5" t="str" cm="1">
        <f t="array" ref="D90">_xlfn.IFS(C90&lt;30, "20-29",C90&lt;40, "30-39",C90&lt;50, "40-49",C90&lt;60, "50-59",Table4[[#This Row],[Age]]&gt;=60, "60+"  )</f>
        <v>40-49</v>
      </c>
      <c r="E90" t="s">
        <v>12</v>
      </c>
      <c r="F90" t="b">
        <v>1</v>
      </c>
      <c r="G90" s="1">
        <v>44150</v>
      </c>
      <c r="H90">
        <v>19</v>
      </c>
      <c r="I90" s="5" t="str" cm="1">
        <f t="array" ref="I90">_xlfn.IFS(Table4[[#This Row],[Experience]]&lt;15, "7-15 YEARS",Table4[[#This Row],[Experience]]&lt;23, "15-23  YEARS",Table4[[#This Row],[Experience]]&lt;30, "23-30 YEARS",Table4[[#This Row],[Experience]]&gt;=30, "30+ YEARS")</f>
        <v>15-23  YEARS</v>
      </c>
      <c r="J90">
        <v>148439</v>
      </c>
      <c r="K90" s="5" t="str" cm="1">
        <f t="array" ref="K90">_xlfn.IFS(Table4[[#This Row],[Salary]]&lt;50000, "0-50K",Table4[[#This Row],[Salary]]&lt;100000, "50K-1L",Table4[[#This Row],[Salary]]&lt;150000, "1L-1.5L",Table4[[#This Row],[Salary]]&lt;200000, "1.5-2L",Table4[[#This Row],[Salary]]&gt;=200000, "2L+")</f>
        <v>1L-1.5L</v>
      </c>
    </row>
    <row r="91" spans="1:11" x14ac:dyDescent="0.3">
      <c r="A91">
        <v>89</v>
      </c>
      <c r="B91">
        <v>3988</v>
      </c>
      <c r="C91">
        <v>31</v>
      </c>
      <c r="D91" s="5" t="str" cm="1">
        <f t="array" ref="D91">_xlfn.IFS(C91&lt;30, "20-29",C91&lt;40, "30-39",C91&lt;50, "40-49",C91&lt;60, "50-59",Table4[[#This Row],[Age]]&gt;=60, "60+"  )</f>
        <v>30-39</v>
      </c>
      <c r="E91" t="s">
        <v>11</v>
      </c>
      <c r="F91" t="b">
        <v>1</v>
      </c>
      <c r="G91" s="1">
        <v>32710</v>
      </c>
      <c r="H91">
        <v>15</v>
      </c>
      <c r="I91" s="5" t="str" cm="1">
        <f t="array" ref="I91">_xlfn.IFS(Table4[[#This Row],[Experience]]&lt;15, "7-15 YEARS",Table4[[#This Row],[Experience]]&lt;23, "15-23  YEARS",Table4[[#This Row],[Experience]]&lt;30, "23-30 YEARS",Table4[[#This Row],[Experience]]&gt;=30, "30+ YEARS")</f>
        <v>15-23  YEARS</v>
      </c>
      <c r="J91">
        <v>120884</v>
      </c>
      <c r="K91" s="5" t="str" cm="1">
        <f t="array" ref="K91">_xlfn.IFS(Table4[[#This Row],[Salary]]&lt;50000, "0-50K",Table4[[#This Row],[Salary]]&lt;100000, "50K-1L",Table4[[#This Row],[Salary]]&lt;150000, "1L-1.5L",Table4[[#This Row],[Salary]]&lt;200000, "1.5-2L",Table4[[#This Row],[Salary]]&gt;=200000, "2L+")</f>
        <v>1L-1.5L</v>
      </c>
    </row>
    <row r="92" spans="1:11" x14ac:dyDescent="0.3">
      <c r="A92">
        <v>90</v>
      </c>
      <c r="B92">
        <v>3300</v>
      </c>
      <c r="C92">
        <v>26</v>
      </c>
      <c r="D92" s="5" t="str" cm="1">
        <f t="array" ref="D92">_xlfn.IFS(C92&lt;30, "20-29",C92&lt;40, "30-39",C92&lt;50, "40-49",C92&lt;60, "50-59",Table4[[#This Row],[Age]]&gt;=60, "60+"  )</f>
        <v>20-29</v>
      </c>
      <c r="E92" t="s">
        <v>9</v>
      </c>
      <c r="F92" t="b">
        <v>1</v>
      </c>
      <c r="G92" s="1">
        <v>45931</v>
      </c>
      <c r="H92">
        <v>12</v>
      </c>
      <c r="I92" s="5" t="str" cm="1">
        <f t="array" ref="I92">_xlfn.IFS(Table4[[#This Row],[Experience]]&lt;15, "7-15 YEARS",Table4[[#This Row],[Experience]]&lt;23, "15-23  YEARS",Table4[[#This Row],[Experience]]&lt;30, "23-30 YEARS",Table4[[#This Row],[Experience]]&gt;=30, "30+ YEARS")</f>
        <v>7-15 YEARS</v>
      </c>
      <c r="J92">
        <v>94805</v>
      </c>
      <c r="K92" s="5" t="str" cm="1">
        <f t="array" ref="K92">_xlfn.IFS(Table4[[#This Row],[Salary]]&lt;50000, "0-50K",Table4[[#This Row],[Salary]]&lt;100000, "50K-1L",Table4[[#This Row],[Salary]]&lt;150000, "1L-1.5L",Table4[[#This Row],[Salary]]&lt;200000, "1.5-2L",Table4[[#This Row],[Salary]]&gt;=200000, "2L+")</f>
        <v>50K-1L</v>
      </c>
    </row>
    <row r="93" spans="1:11" x14ac:dyDescent="0.3">
      <c r="A93">
        <v>91</v>
      </c>
      <c r="B93">
        <v>9343</v>
      </c>
      <c r="C93">
        <v>27</v>
      </c>
      <c r="D93" s="5" t="str" cm="1">
        <f t="array" ref="D93">_xlfn.IFS(C93&lt;30, "20-29",C93&lt;40, "30-39",C93&lt;50, "40-49",C93&lt;60, "50-59",Table4[[#This Row],[Age]]&gt;=60, "60+"  )</f>
        <v>20-29</v>
      </c>
      <c r="E93" t="s">
        <v>9</v>
      </c>
      <c r="F93" t="b">
        <v>0</v>
      </c>
      <c r="G93" s="1">
        <v>29951</v>
      </c>
      <c r="H93">
        <v>13</v>
      </c>
      <c r="I93" s="5" t="str" cm="1">
        <f t="array" ref="I93">_xlfn.IFS(Table4[[#This Row],[Experience]]&lt;15, "7-15 YEARS",Table4[[#This Row],[Experience]]&lt;23, "15-23  YEARS",Table4[[#This Row],[Experience]]&lt;30, "23-30 YEARS",Table4[[#This Row],[Experience]]&gt;=30, "30+ YEARS")</f>
        <v>7-15 YEARS</v>
      </c>
      <c r="J93">
        <v>97135</v>
      </c>
      <c r="K93" s="5" t="str" cm="1">
        <f t="array" ref="K93">_xlfn.IFS(Table4[[#This Row],[Salary]]&lt;50000, "0-50K",Table4[[#This Row],[Salary]]&lt;100000, "50K-1L",Table4[[#This Row],[Salary]]&lt;150000, "1L-1.5L",Table4[[#This Row],[Salary]]&lt;200000, "1.5-2L",Table4[[#This Row],[Salary]]&gt;=200000, "2L+")</f>
        <v>50K-1L</v>
      </c>
    </row>
    <row r="94" spans="1:11" x14ac:dyDescent="0.3">
      <c r="A94">
        <v>92</v>
      </c>
      <c r="B94">
        <v>4183</v>
      </c>
      <c r="C94">
        <v>52</v>
      </c>
      <c r="D94" s="5" t="str" cm="1">
        <f t="array" ref="D94">_xlfn.IFS(C94&lt;30, "20-29",C94&lt;40, "30-39",C94&lt;50, "40-49",C94&lt;60, "50-59",Table4[[#This Row],[Age]]&gt;=60, "60+"  )</f>
        <v>50-59</v>
      </c>
      <c r="E94" t="s">
        <v>12</v>
      </c>
      <c r="F94" t="b">
        <v>0</v>
      </c>
      <c r="G94" s="1">
        <v>38835</v>
      </c>
      <c r="H94">
        <v>29</v>
      </c>
      <c r="I94" s="5" t="str" cm="1">
        <f t="array" ref="I94">_xlfn.IFS(Table4[[#This Row],[Experience]]&lt;15, "7-15 YEARS",Table4[[#This Row],[Experience]]&lt;23, "15-23  YEARS",Table4[[#This Row],[Experience]]&lt;30, "23-30 YEARS",Table4[[#This Row],[Experience]]&gt;=30, "30+ YEARS")</f>
        <v>23-30 YEARS</v>
      </c>
      <c r="J94">
        <v>220820</v>
      </c>
      <c r="K94" s="5" t="str" cm="1">
        <f t="array" ref="K94">_xlfn.IFS(Table4[[#This Row],[Salary]]&lt;50000, "0-50K",Table4[[#This Row],[Salary]]&lt;100000, "50K-1L",Table4[[#This Row],[Salary]]&lt;150000, "1L-1.5L",Table4[[#This Row],[Salary]]&lt;200000, "1.5-2L",Table4[[#This Row],[Salary]]&gt;=200000, "2L+")</f>
        <v>2L+</v>
      </c>
    </row>
    <row r="95" spans="1:11" x14ac:dyDescent="0.3">
      <c r="A95">
        <v>93</v>
      </c>
      <c r="B95">
        <v>4933</v>
      </c>
      <c r="C95">
        <v>31</v>
      </c>
      <c r="D95" s="5" t="str" cm="1">
        <f t="array" ref="D95">_xlfn.IFS(C95&lt;30, "20-29",C95&lt;40, "30-39",C95&lt;50, "40-49",C95&lt;60, "50-59",Table4[[#This Row],[Age]]&gt;=60, "60+"  )</f>
        <v>30-39</v>
      </c>
      <c r="E95" t="s">
        <v>10</v>
      </c>
      <c r="F95" t="b">
        <v>1</v>
      </c>
      <c r="G95" s="1">
        <v>41629</v>
      </c>
      <c r="H95">
        <v>14</v>
      </c>
      <c r="I95" s="5" t="str" cm="1">
        <f t="array" ref="I95">_xlfn.IFS(Table4[[#This Row],[Experience]]&lt;15, "7-15 YEARS",Table4[[#This Row],[Experience]]&lt;23, "15-23  YEARS",Table4[[#This Row],[Experience]]&lt;30, "23-30 YEARS",Table4[[#This Row],[Experience]]&gt;=30, "30+ YEARS")</f>
        <v>7-15 YEARS</v>
      </c>
      <c r="J95">
        <v>118043</v>
      </c>
      <c r="K95" s="5" t="str" cm="1">
        <f t="array" ref="K95">_xlfn.IFS(Table4[[#This Row],[Salary]]&lt;50000, "0-50K",Table4[[#This Row],[Salary]]&lt;100000, "50K-1L",Table4[[#This Row],[Salary]]&lt;150000, "1L-1.5L",Table4[[#This Row],[Salary]]&lt;200000, "1.5-2L",Table4[[#This Row],[Salary]]&gt;=200000, "2L+")</f>
        <v>1L-1.5L</v>
      </c>
    </row>
    <row r="96" spans="1:11" x14ac:dyDescent="0.3">
      <c r="A96">
        <v>94</v>
      </c>
      <c r="B96">
        <v>7374</v>
      </c>
      <c r="C96">
        <v>52</v>
      </c>
      <c r="D96" s="5" t="str" cm="1">
        <f t="array" ref="D96">_xlfn.IFS(C96&lt;30, "20-29",C96&lt;40, "30-39",C96&lt;50, "40-49",C96&lt;60, "50-59",Table4[[#This Row],[Age]]&gt;=60, "60+"  )</f>
        <v>50-59</v>
      </c>
      <c r="E96" t="s">
        <v>11</v>
      </c>
      <c r="F96" t="b">
        <v>0</v>
      </c>
      <c r="G96" s="1">
        <v>39856</v>
      </c>
      <c r="H96">
        <v>27</v>
      </c>
      <c r="I96" s="5" t="str" cm="1">
        <f t="array" ref="I96">_xlfn.IFS(Table4[[#This Row],[Experience]]&lt;15, "7-15 YEARS",Table4[[#This Row],[Experience]]&lt;23, "15-23  YEARS",Table4[[#This Row],[Experience]]&lt;30, "23-30 YEARS",Table4[[#This Row],[Experience]]&gt;=30, "30+ YEARS")</f>
        <v>23-30 YEARS</v>
      </c>
      <c r="J96">
        <v>223315</v>
      </c>
      <c r="K96" s="5" t="str" cm="1">
        <f t="array" ref="K96">_xlfn.IFS(Table4[[#This Row],[Salary]]&lt;50000, "0-50K",Table4[[#This Row],[Salary]]&lt;100000, "50K-1L",Table4[[#This Row],[Salary]]&lt;150000, "1L-1.5L",Table4[[#This Row],[Salary]]&lt;200000, "1.5-2L",Table4[[#This Row],[Salary]]&gt;=200000, "2L+")</f>
        <v>2L+</v>
      </c>
    </row>
    <row r="97" spans="1:11" x14ac:dyDescent="0.3">
      <c r="A97">
        <v>95</v>
      </c>
      <c r="B97">
        <v>1082</v>
      </c>
      <c r="C97">
        <v>61</v>
      </c>
      <c r="D97" s="5" t="str" cm="1">
        <f t="array" ref="D97">_xlfn.IFS(C97&lt;30, "20-29",C97&lt;40, "30-39",C97&lt;50, "40-49",C97&lt;60, "50-59",Table4[[#This Row],[Age]]&gt;=60, "60+"  )</f>
        <v>60+</v>
      </c>
      <c r="E97" t="s">
        <v>8</v>
      </c>
      <c r="F97" t="b">
        <v>1</v>
      </c>
      <c r="G97" s="1">
        <v>37988</v>
      </c>
      <c r="H97">
        <v>30</v>
      </c>
      <c r="I97" s="5" t="str" cm="1">
        <f t="array" ref="I97">_xlfn.IFS(Table4[[#This Row],[Experience]]&lt;15, "7-15 YEARS",Table4[[#This Row],[Experience]]&lt;23, "15-23  YEARS",Table4[[#This Row],[Experience]]&lt;30, "23-30 YEARS",Table4[[#This Row],[Experience]]&gt;=30, "30+ YEARS")</f>
        <v>30+ YEARS</v>
      </c>
      <c r="J97">
        <v>246738</v>
      </c>
      <c r="K97" s="5" t="str" cm="1">
        <f t="array" ref="K97">_xlfn.IFS(Table4[[#This Row],[Salary]]&lt;50000, "0-50K",Table4[[#This Row],[Salary]]&lt;100000, "50K-1L",Table4[[#This Row],[Salary]]&lt;150000, "1L-1.5L",Table4[[#This Row],[Salary]]&lt;200000, "1.5-2L",Table4[[#This Row],[Salary]]&gt;=200000, "2L+")</f>
        <v>2L+</v>
      </c>
    </row>
    <row r="98" spans="1:11" x14ac:dyDescent="0.3">
      <c r="A98">
        <v>96</v>
      </c>
      <c r="B98">
        <v>4204</v>
      </c>
      <c r="C98">
        <v>52</v>
      </c>
      <c r="D98" s="5" t="str" cm="1">
        <f t="array" ref="D98">_xlfn.IFS(C98&lt;30, "20-29",C98&lt;40, "30-39",C98&lt;50, "40-49",C98&lt;60, "50-59",Table4[[#This Row],[Age]]&gt;=60, "60+"  )</f>
        <v>50-59</v>
      </c>
      <c r="E98" t="s">
        <v>8</v>
      </c>
      <c r="F98" t="b">
        <v>0</v>
      </c>
      <c r="G98" s="1">
        <v>43322</v>
      </c>
      <c r="H98">
        <v>24</v>
      </c>
      <c r="I98" s="5" t="str" cm="1">
        <f t="array" ref="I98">_xlfn.IFS(Table4[[#This Row],[Experience]]&lt;15, "7-15 YEARS",Table4[[#This Row],[Experience]]&lt;23, "15-23  YEARS",Table4[[#This Row],[Experience]]&lt;30, "23-30 YEARS",Table4[[#This Row],[Experience]]&gt;=30, "30+ YEARS")</f>
        <v>23-30 YEARS</v>
      </c>
      <c r="J98">
        <v>191082</v>
      </c>
      <c r="K98" s="5" t="str" cm="1">
        <f t="array" ref="K98">_xlfn.IFS(Table4[[#This Row],[Salary]]&lt;50000, "0-50K",Table4[[#This Row],[Salary]]&lt;100000, "50K-1L",Table4[[#This Row],[Salary]]&lt;150000, "1L-1.5L",Table4[[#This Row],[Salary]]&lt;200000, "1.5-2L",Table4[[#This Row],[Salary]]&gt;=200000, "2L+")</f>
        <v>1.5-2L</v>
      </c>
    </row>
    <row r="99" spans="1:11" x14ac:dyDescent="0.3">
      <c r="A99">
        <v>97</v>
      </c>
      <c r="B99">
        <v>9015</v>
      </c>
      <c r="C99">
        <v>59</v>
      </c>
      <c r="D99" s="5" t="str" cm="1">
        <f t="array" ref="D99">_xlfn.IFS(C99&lt;30, "20-29",C99&lt;40, "30-39",C99&lt;50, "40-49",C99&lt;60, "50-59",Table4[[#This Row],[Age]]&gt;=60, "60+"  )</f>
        <v>50-59</v>
      </c>
      <c r="E99" t="s">
        <v>8</v>
      </c>
      <c r="F99" t="b">
        <v>0</v>
      </c>
      <c r="G99" s="1">
        <v>42954</v>
      </c>
      <c r="H99">
        <v>28</v>
      </c>
      <c r="I99" s="5" t="str" cm="1">
        <f t="array" ref="I99">_xlfn.IFS(Table4[[#This Row],[Experience]]&lt;15, "7-15 YEARS",Table4[[#This Row],[Experience]]&lt;23, "15-23  YEARS",Table4[[#This Row],[Experience]]&lt;30, "23-30 YEARS",Table4[[#This Row],[Experience]]&gt;=30, "30+ YEARS")</f>
        <v>23-30 YEARS</v>
      </c>
      <c r="J99">
        <v>225302</v>
      </c>
      <c r="K99" s="5" t="str" cm="1">
        <f t="array" ref="K99">_xlfn.IFS(Table4[[#This Row],[Salary]]&lt;50000, "0-50K",Table4[[#This Row],[Salary]]&lt;100000, "50K-1L",Table4[[#This Row],[Salary]]&lt;150000, "1L-1.5L",Table4[[#This Row],[Salary]]&lt;200000, "1.5-2L",Table4[[#This Row],[Salary]]&gt;=200000, "2L+")</f>
        <v>2L+</v>
      </c>
    </row>
    <row r="100" spans="1:11" x14ac:dyDescent="0.3">
      <c r="A100">
        <v>98</v>
      </c>
      <c r="B100">
        <v>1706</v>
      </c>
      <c r="C100">
        <v>40</v>
      </c>
      <c r="D100" s="5" t="str" cm="1">
        <f t="array" ref="D100">_xlfn.IFS(C100&lt;30, "20-29",C100&lt;40, "30-39",C100&lt;50, "40-49",C100&lt;60, "50-59",Table4[[#This Row],[Age]]&gt;=60, "60+"  )</f>
        <v>40-49</v>
      </c>
      <c r="E100" t="s">
        <v>12</v>
      </c>
      <c r="F100" t="b">
        <v>0</v>
      </c>
      <c r="G100" s="1">
        <v>45187</v>
      </c>
      <c r="H100">
        <v>18</v>
      </c>
      <c r="I100" s="5" t="str" cm="1">
        <f t="array" ref="I100">_xlfn.IFS(Table4[[#This Row],[Experience]]&lt;15, "7-15 YEARS",Table4[[#This Row],[Experience]]&lt;23, "15-23  YEARS",Table4[[#This Row],[Experience]]&lt;30, "23-30 YEARS",Table4[[#This Row],[Experience]]&gt;=30, "30+ YEARS")</f>
        <v>15-23  YEARS</v>
      </c>
      <c r="J100">
        <v>142093</v>
      </c>
      <c r="K100" s="5" t="str" cm="1">
        <f t="array" ref="K100">_xlfn.IFS(Table4[[#This Row],[Salary]]&lt;50000, "0-50K",Table4[[#This Row],[Salary]]&lt;100000, "50K-1L",Table4[[#This Row],[Salary]]&lt;150000, "1L-1.5L",Table4[[#This Row],[Salary]]&lt;200000, "1.5-2L",Table4[[#This Row],[Salary]]&gt;=200000, "2L+")</f>
        <v>1L-1.5L</v>
      </c>
    </row>
    <row r="101" spans="1:11" x14ac:dyDescent="0.3">
      <c r="A101">
        <v>99</v>
      </c>
      <c r="B101">
        <v>3873</v>
      </c>
      <c r="C101">
        <v>46</v>
      </c>
      <c r="D101" s="5" t="str" cm="1">
        <f t="array" ref="D101">_xlfn.IFS(C101&lt;30, "20-29",C101&lt;40, "30-39",C101&lt;50, "40-49",C101&lt;60, "50-59",Table4[[#This Row],[Age]]&gt;=60, "60+"  )</f>
        <v>40-49</v>
      </c>
      <c r="E101" t="s">
        <v>12</v>
      </c>
      <c r="F101" t="b">
        <v>1</v>
      </c>
      <c r="G101" s="1">
        <v>38541</v>
      </c>
      <c r="H101">
        <v>19</v>
      </c>
      <c r="I101" s="5" t="str" cm="1">
        <f t="array" ref="I101">_xlfn.IFS(Table4[[#This Row],[Experience]]&lt;15, "7-15 YEARS",Table4[[#This Row],[Experience]]&lt;23, "15-23  YEARS",Table4[[#This Row],[Experience]]&lt;30, "23-30 YEARS",Table4[[#This Row],[Experience]]&gt;=30, "30+ YEARS")</f>
        <v>15-23  YEARS</v>
      </c>
      <c r="J101">
        <v>156162</v>
      </c>
      <c r="K101" s="5" t="str" cm="1">
        <f t="array" ref="K101">_xlfn.IFS(Table4[[#This Row],[Salary]]&lt;50000, "0-50K",Table4[[#This Row],[Salary]]&lt;100000, "50K-1L",Table4[[#This Row],[Salary]]&lt;150000, "1L-1.5L",Table4[[#This Row],[Salary]]&lt;200000, "1.5-2L",Table4[[#This Row],[Salary]]&gt;=200000, "2L+")</f>
        <v>1.5-2L</v>
      </c>
    </row>
    <row r="102" spans="1:11" x14ac:dyDescent="0.3">
      <c r="A102">
        <v>100</v>
      </c>
      <c r="B102">
        <v>3229</v>
      </c>
      <c r="C102">
        <v>35</v>
      </c>
      <c r="D102" s="5" t="str" cm="1">
        <f t="array" ref="D102">_xlfn.IFS(C102&lt;30, "20-29",C102&lt;40, "30-39",C102&lt;50, "40-49",C102&lt;60, "50-59",Table4[[#This Row],[Age]]&gt;=60, "60+"  )</f>
        <v>30-39</v>
      </c>
      <c r="E102" t="s">
        <v>9</v>
      </c>
      <c r="F102" t="b">
        <v>1</v>
      </c>
      <c r="G102" s="1">
        <v>45670</v>
      </c>
      <c r="H102">
        <v>17</v>
      </c>
      <c r="I102" s="5" t="str" cm="1">
        <f t="array" ref="I102">_xlfn.IFS(Table4[[#This Row],[Experience]]&lt;15, "7-15 YEARS",Table4[[#This Row],[Experience]]&lt;23, "15-23  YEARS",Table4[[#This Row],[Experience]]&lt;30, "23-30 YEARS",Table4[[#This Row],[Experience]]&gt;=30, "30+ YEARS")</f>
        <v>15-23  YEARS</v>
      </c>
      <c r="J102">
        <v>134816</v>
      </c>
      <c r="K102" s="5" t="str" cm="1">
        <f t="array" ref="K102">_xlfn.IFS(Table4[[#This Row],[Salary]]&lt;50000, "0-50K",Table4[[#This Row],[Salary]]&lt;100000, "50K-1L",Table4[[#This Row],[Salary]]&lt;150000, "1L-1.5L",Table4[[#This Row],[Salary]]&lt;200000, "1.5-2L",Table4[[#This Row],[Salary]]&gt;=200000, "2L+")</f>
        <v>1L-1.5L</v>
      </c>
    </row>
    <row r="103" spans="1:11" x14ac:dyDescent="0.3">
      <c r="A103">
        <v>101</v>
      </c>
      <c r="B103">
        <v>6665</v>
      </c>
      <c r="C103">
        <v>40</v>
      </c>
      <c r="D103" s="5" t="str" cm="1">
        <f t="array" ref="D103">_xlfn.IFS(C103&lt;30, "20-29",C103&lt;40, "30-39",C103&lt;50, "40-49",C103&lt;60, "50-59",Table4[[#This Row],[Age]]&gt;=60, "60+"  )</f>
        <v>40-49</v>
      </c>
      <c r="E103" t="s">
        <v>11</v>
      </c>
      <c r="F103" t="b">
        <v>0</v>
      </c>
      <c r="G103" s="1">
        <v>31288</v>
      </c>
      <c r="H103">
        <v>15</v>
      </c>
      <c r="I103" s="5" t="str" cm="1">
        <f t="array" ref="I103">_xlfn.IFS(Table4[[#This Row],[Experience]]&lt;15, "7-15 YEARS",Table4[[#This Row],[Experience]]&lt;23, "15-23  YEARS",Table4[[#This Row],[Experience]]&lt;30, "23-30 YEARS",Table4[[#This Row],[Experience]]&gt;=30, "30+ YEARS")</f>
        <v>15-23  YEARS</v>
      </c>
      <c r="J103">
        <v>122745</v>
      </c>
      <c r="K103" s="5" t="str" cm="1">
        <f t="array" ref="K103">_xlfn.IFS(Table4[[#This Row],[Salary]]&lt;50000, "0-50K",Table4[[#This Row],[Salary]]&lt;100000, "50K-1L",Table4[[#This Row],[Salary]]&lt;150000, "1L-1.5L",Table4[[#This Row],[Salary]]&lt;200000, "1.5-2L",Table4[[#This Row],[Salary]]&gt;=200000, "2L+")</f>
        <v>1L-1.5L</v>
      </c>
    </row>
    <row r="104" spans="1:11" x14ac:dyDescent="0.3">
      <c r="A104">
        <v>102</v>
      </c>
      <c r="B104">
        <v>4680</v>
      </c>
      <c r="C104">
        <v>40</v>
      </c>
      <c r="D104" s="5" t="str" cm="1">
        <f t="array" ref="D104">_xlfn.IFS(C104&lt;30, "20-29",C104&lt;40, "30-39",C104&lt;50, "40-49",C104&lt;60, "50-59",Table4[[#This Row],[Age]]&gt;=60, "60+"  )</f>
        <v>40-49</v>
      </c>
      <c r="E104" t="s">
        <v>11</v>
      </c>
      <c r="F104" t="b">
        <v>1</v>
      </c>
      <c r="G104" s="1">
        <v>30839</v>
      </c>
      <c r="H104">
        <v>24</v>
      </c>
      <c r="I104" s="5" t="str" cm="1">
        <f t="array" ref="I104">_xlfn.IFS(Table4[[#This Row],[Experience]]&lt;15, "7-15 YEARS",Table4[[#This Row],[Experience]]&lt;23, "15-23  YEARS",Table4[[#This Row],[Experience]]&lt;30, "23-30 YEARS",Table4[[#This Row],[Experience]]&gt;=30, "30+ YEARS")</f>
        <v>23-30 YEARS</v>
      </c>
      <c r="J104">
        <v>186453</v>
      </c>
      <c r="K104" s="5" t="str" cm="1">
        <f t="array" ref="K104">_xlfn.IFS(Table4[[#This Row],[Salary]]&lt;50000, "0-50K",Table4[[#This Row],[Salary]]&lt;100000, "50K-1L",Table4[[#This Row],[Salary]]&lt;150000, "1L-1.5L",Table4[[#This Row],[Salary]]&lt;200000, "1.5-2L",Table4[[#This Row],[Salary]]&gt;=200000, "2L+")</f>
        <v>1.5-2L</v>
      </c>
    </row>
    <row r="105" spans="1:11" x14ac:dyDescent="0.3">
      <c r="A105">
        <v>103</v>
      </c>
      <c r="B105">
        <v>1002</v>
      </c>
      <c r="C105">
        <v>48</v>
      </c>
      <c r="D105" s="5" t="str" cm="1">
        <f t="array" ref="D105">_xlfn.IFS(C105&lt;30, "20-29",C105&lt;40, "30-39",C105&lt;50, "40-49",C105&lt;60, "50-59",Table4[[#This Row],[Age]]&gt;=60, "60+"  )</f>
        <v>40-49</v>
      </c>
      <c r="E105" t="s">
        <v>12</v>
      </c>
      <c r="F105" t="b">
        <v>0</v>
      </c>
      <c r="G105" s="1">
        <v>41468</v>
      </c>
      <c r="H105">
        <v>25</v>
      </c>
      <c r="I105" s="5" t="str" cm="1">
        <f t="array" ref="I105">_xlfn.IFS(Table4[[#This Row],[Experience]]&lt;15, "7-15 YEARS",Table4[[#This Row],[Experience]]&lt;23, "15-23  YEARS",Table4[[#This Row],[Experience]]&lt;30, "23-30 YEARS",Table4[[#This Row],[Experience]]&gt;=30, "30+ YEARS")</f>
        <v>23-30 YEARS</v>
      </c>
      <c r="J105">
        <v>199561</v>
      </c>
      <c r="K105" s="5" t="str" cm="1">
        <f t="array" ref="K105">_xlfn.IFS(Table4[[#This Row],[Salary]]&lt;50000, "0-50K",Table4[[#This Row],[Salary]]&lt;100000, "50K-1L",Table4[[#This Row],[Salary]]&lt;150000, "1L-1.5L",Table4[[#This Row],[Salary]]&lt;200000, "1.5-2L",Table4[[#This Row],[Salary]]&gt;=200000, "2L+")</f>
        <v>1.5-2L</v>
      </c>
    </row>
    <row r="106" spans="1:11" x14ac:dyDescent="0.3">
      <c r="A106">
        <v>104</v>
      </c>
      <c r="B106">
        <v>1137</v>
      </c>
      <c r="C106">
        <v>54</v>
      </c>
      <c r="D106" s="5" t="str" cm="1">
        <f t="array" ref="D106">_xlfn.IFS(C106&lt;30, "20-29",C106&lt;40, "30-39",C106&lt;50, "40-49",C106&lt;60, "50-59",Table4[[#This Row],[Age]]&gt;=60, "60+"  )</f>
        <v>50-59</v>
      </c>
      <c r="E106" t="s">
        <v>10</v>
      </c>
      <c r="F106" t="b">
        <v>1</v>
      </c>
      <c r="G106" s="1">
        <v>33349</v>
      </c>
      <c r="H106">
        <v>25</v>
      </c>
      <c r="I106" s="5" t="str" cm="1">
        <f t="array" ref="I106">_xlfn.IFS(Table4[[#This Row],[Experience]]&lt;15, "7-15 YEARS",Table4[[#This Row],[Experience]]&lt;23, "15-23  YEARS",Table4[[#This Row],[Experience]]&lt;30, "23-30 YEARS",Table4[[#This Row],[Experience]]&gt;=30, "30+ YEARS")</f>
        <v>23-30 YEARS</v>
      </c>
      <c r="J106">
        <v>204293</v>
      </c>
      <c r="K106" s="5" t="str" cm="1">
        <f t="array" ref="K106">_xlfn.IFS(Table4[[#This Row],[Salary]]&lt;50000, "0-50K",Table4[[#This Row],[Salary]]&lt;100000, "50K-1L",Table4[[#This Row],[Salary]]&lt;150000, "1L-1.5L",Table4[[#This Row],[Salary]]&lt;200000, "1.5-2L",Table4[[#This Row],[Salary]]&gt;=200000, "2L+")</f>
        <v>2L+</v>
      </c>
    </row>
    <row r="107" spans="1:11" x14ac:dyDescent="0.3">
      <c r="A107">
        <v>105</v>
      </c>
      <c r="B107">
        <v>7922</v>
      </c>
      <c r="C107">
        <v>58</v>
      </c>
      <c r="D107" s="5" t="str" cm="1">
        <f t="array" ref="D107">_xlfn.IFS(C107&lt;30, "20-29",C107&lt;40, "30-39",C107&lt;50, "40-49",C107&lt;60, "50-59",Table4[[#This Row],[Age]]&gt;=60, "60+"  )</f>
        <v>50-59</v>
      </c>
      <c r="E107" t="s">
        <v>11</v>
      </c>
      <c r="F107" t="b">
        <v>1</v>
      </c>
      <c r="G107" s="1">
        <v>27661</v>
      </c>
      <c r="H107">
        <v>30</v>
      </c>
      <c r="I107" s="5" t="str" cm="1">
        <f t="array" ref="I107">_xlfn.IFS(Table4[[#This Row],[Experience]]&lt;15, "7-15 YEARS",Table4[[#This Row],[Experience]]&lt;23, "15-23  YEARS",Table4[[#This Row],[Experience]]&lt;30, "23-30 YEARS",Table4[[#This Row],[Experience]]&gt;=30, "30+ YEARS")</f>
        <v>30+ YEARS</v>
      </c>
      <c r="J107">
        <v>242531</v>
      </c>
      <c r="K107" s="5" t="str" cm="1">
        <f t="array" ref="K107">_xlfn.IFS(Table4[[#This Row],[Salary]]&lt;50000, "0-50K",Table4[[#This Row],[Salary]]&lt;100000, "50K-1L",Table4[[#This Row],[Salary]]&lt;150000, "1L-1.5L",Table4[[#This Row],[Salary]]&lt;200000, "1.5-2L",Table4[[#This Row],[Salary]]&gt;=200000, "2L+")</f>
        <v>2L+</v>
      </c>
    </row>
    <row r="108" spans="1:11" x14ac:dyDescent="0.3">
      <c r="A108">
        <v>106</v>
      </c>
      <c r="B108">
        <v>3307</v>
      </c>
      <c r="C108">
        <v>25</v>
      </c>
      <c r="D108" s="5" t="str" cm="1">
        <f t="array" ref="D108">_xlfn.IFS(C108&lt;30, "20-29",C108&lt;40, "30-39",C108&lt;50, "40-49",C108&lt;60, "50-59",Table4[[#This Row],[Age]]&gt;=60, "60+"  )</f>
        <v>20-29</v>
      </c>
      <c r="E108" t="s">
        <v>12</v>
      </c>
      <c r="F108" t="b">
        <v>1</v>
      </c>
      <c r="G108" s="1">
        <v>31903</v>
      </c>
      <c r="H108">
        <v>12</v>
      </c>
      <c r="I108" s="5" t="str" cm="1">
        <f t="array" ref="I108">_xlfn.IFS(Table4[[#This Row],[Experience]]&lt;15, "7-15 YEARS",Table4[[#This Row],[Experience]]&lt;23, "15-23  YEARS",Table4[[#This Row],[Experience]]&lt;30, "23-30 YEARS",Table4[[#This Row],[Experience]]&gt;=30, "30+ YEARS")</f>
        <v>7-15 YEARS</v>
      </c>
      <c r="J108">
        <v>103111</v>
      </c>
      <c r="K108" s="5" t="str" cm="1">
        <f t="array" ref="K108">_xlfn.IFS(Table4[[#This Row],[Salary]]&lt;50000, "0-50K",Table4[[#This Row],[Salary]]&lt;100000, "50K-1L",Table4[[#This Row],[Salary]]&lt;150000, "1L-1.5L",Table4[[#This Row],[Salary]]&lt;200000, "1.5-2L",Table4[[#This Row],[Salary]]&gt;=200000, "2L+")</f>
        <v>1L-1.5L</v>
      </c>
    </row>
    <row r="109" spans="1:11" x14ac:dyDescent="0.3">
      <c r="A109">
        <v>107</v>
      </c>
      <c r="B109">
        <v>8235</v>
      </c>
      <c r="C109">
        <v>53</v>
      </c>
      <c r="D109" s="5" t="str" cm="1">
        <f t="array" ref="D109">_xlfn.IFS(C109&lt;30, "20-29",C109&lt;40, "30-39",C109&lt;50, "40-49",C109&lt;60, "50-59",Table4[[#This Row],[Age]]&gt;=60, "60+"  )</f>
        <v>50-59</v>
      </c>
      <c r="E109" t="s">
        <v>11</v>
      </c>
      <c r="F109" t="b">
        <v>1</v>
      </c>
      <c r="G109" s="1">
        <v>35608</v>
      </c>
      <c r="H109">
        <v>30</v>
      </c>
      <c r="I109" s="5" t="str" cm="1">
        <f t="array" ref="I109">_xlfn.IFS(Table4[[#This Row],[Experience]]&lt;15, "7-15 YEARS",Table4[[#This Row],[Experience]]&lt;23, "15-23  YEARS",Table4[[#This Row],[Experience]]&lt;30, "23-30 YEARS",Table4[[#This Row],[Experience]]&gt;=30, "30+ YEARS")</f>
        <v>30+ YEARS</v>
      </c>
      <c r="J109">
        <v>237496</v>
      </c>
      <c r="K109" s="5" t="str" cm="1">
        <f t="array" ref="K109">_xlfn.IFS(Table4[[#This Row],[Salary]]&lt;50000, "0-50K",Table4[[#This Row],[Salary]]&lt;100000, "50K-1L",Table4[[#This Row],[Salary]]&lt;150000, "1L-1.5L",Table4[[#This Row],[Salary]]&lt;200000, "1.5-2L",Table4[[#This Row],[Salary]]&gt;=200000, "2L+")</f>
        <v>2L+</v>
      </c>
    </row>
    <row r="110" spans="1:11" x14ac:dyDescent="0.3">
      <c r="A110">
        <v>108</v>
      </c>
      <c r="B110">
        <v>9113</v>
      </c>
      <c r="C110">
        <v>50</v>
      </c>
      <c r="D110" s="5" t="str" cm="1">
        <f t="array" ref="D110">_xlfn.IFS(C110&lt;30, "20-29",C110&lt;40, "30-39",C110&lt;50, "40-49",C110&lt;60, "50-59",Table4[[#This Row],[Age]]&gt;=60, "60+"  )</f>
        <v>50-59</v>
      </c>
      <c r="E110" t="s">
        <v>9</v>
      </c>
      <c r="F110" t="b">
        <v>0</v>
      </c>
      <c r="G110" s="1">
        <v>44783</v>
      </c>
      <c r="H110">
        <v>24</v>
      </c>
      <c r="I110" s="5" t="str" cm="1">
        <f t="array" ref="I110">_xlfn.IFS(Table4[[#This Row],[Experience]]&lt;15, "7-15 YEARS",Table4[[#This Row],[Experience]]&lt;23, "15-23  YEARS",Table4[[#This Row],[Experience]]&lt;30, "23-30 YEARS",Table4[[#This Row],[Experience]]&gt;=30, "30+ YEARS")</f>
        <v>23-30 YEARS</v>
      </c>
      <c r="J110">
        <v>193765</v>
      </c>
      <c r="K110" s="5" t="str" cm="1">
        <f t="array" ref="K110">_xlfn.IFS(Table4[[#This Row],[Salary]]&lt;50000, "0-50K",Table4[[#This Row],[Salary]]&lt;100000, "50K-1L",Table4[[#This Row],[Salary]]&lt;150000, "1L-1.5L",Table4[[#This Row],[Salary]]&lt;200000, "1.5-2L",Table4[[#This Row],[Salary]]&gt;=200000, "2L+")</f>
        <v>1.5-2L</v>
      </c>
    </row>
    <row r="111" spans="1:11" x14ac:dyDescent="0.3">
      <c r="A111">
        <v>109</v>
      </c>
      <c r="B111">
        <v>6545</v>
      </c>
      <c r="C111">
        <v>63</v>
      </c>
      <c r="D111" s="5" t="str" cm="1">
        <f t="array" ref="D111">_xlfn.IFS(C111&lt;30, "20-29",C111&lt;40, "30-39",C111&lt;50, "40-49",C111&lt;60, "50-59",Table4[[#This Row],[Age]]&gt;=60, "60+"  )</f>
        <v>60+</v>
      </c>
      <c r="E111" t="s">
        <v>11</v>
      </c>
      <c r="F111" t="b">
        <v>0</v>
      </c>
      <c r="G111" s="1">
        <v>35389</v>
      </c>
      <c r="H111">
        <v>30</v>
      </c>
      <c r="I111" s="5" t="str" cm="1">
        <f t="array" ref="I111">_xlfn.IFS(Table4[[#This Row],[Experience]]&lt;15, "7-15 YEARS",Table4[[#This Row],[Experience]]&lt;23, "15-23  YEARS",Table4[[#This Row],[Experience]]&lt;30, "23-30 YEARS",Table4[[#This Row],[Experience]]&gt;=30, "30+ YEARS")</f>
        <v>30+ YEARS</v>
      </c>
      <c r="J111">
        <v>240281</v>
      </c>
      <c r="K111" s="5" t="str" cm="1">
        <f t="array" ref="K111">_xlfn.IFS(Table4[[#This Row],[Salary]]&lt;50000, "0-50K",Table4[[#This Row],[Salary]]&lt;100000, "50K-1L",Table4[[#This Row],[Salary]]&lt;150000, "1L-1.5L",Table4[[#This Row],[Salary]]&lt;200000, "1.5-2L",Table4[[#This Row],[Salary]]&gt;=200000, "2L+")</f>
        <v>2L+</v>
      </c>
    </row>
    <row r="112" spans="1:11" x14ac:dyDescent="0.3">
      <c r="A112">
        <v>110</v>
      </c>
      <c r="B112">
        <v>4987</v>
      </c>
      <c r="C112">
        <v>54</v>
      </c>
      <c r="D112" s="5" t="str" cm="1">
        <f t="array" ref="D112">_xlfn.IFS(C112&lt;30, "20-29",C112&lt;40, "30-39",C112&lt;50, "40-49",C112&lt;60, "50-59",Table4[[#This Row],[Age]]&gt;=60, "60+"  )</f>
        <v>50-59</v>
      </c>
      <c r="E112" t="s">
        <v>8</v>
      </c>
      <c r="F112" t="b">
        <v>0</v>
      </c>
      <c r="G112" s="1">
        <v>28723</v>
      </c>
      <c r="H112">
        <v>22</v>
      </c>
      <c r="I112" s="5" t="str" cm="1">
        <f t="array" ref="I112">_xlfn.IFS(Table4[[#This Row],[Experience]]&lt;15, "7-15 YEARS",Table4[[#This Row],[Experience]]&lt;23, "15-23  YEARS",Table4[[#This Row],[Experience]]&lt;30, "23-30 YEARS",Table4[[#This Row],[Experience]]&gt;=30, "30+ YEARS")</f>
        <v>15-23  YEARS</v>
      </c>
      <c r="J112">
        <v>176659</v>
      </c>
      <c r="K112" s="5" t="str" cm="1">
        <f t="array" ref="K112">_xlfn.IFS(Table4[[#This Row],[Salary]]&lt;50000, "0-50K",Table4[[#This Row],[Salary]]&lt;100000, "50K-1L",Table4[[#This Row],[Salary]]&lt;150000, "1L-1.5L",Table4[[#This Row],[Salary]]&lt;200000, "1.5-2L",Table4[[#This Row],[Salary]]&gt;=200000, "2L+")</f>
        <v>1.5-2L</v>
      </c>
    </row>
    <row r="113" spans="1:11" x14ac:dyDescent="0.3">
      <c r="A113">
        <v>111</v>
      </c>
      <c r="B113">
        <v>9111</v>
      </c>
      <c r="C113">
        <v>58</v>
      </c>
      <c r="D113" s="5" t="str" cm="1">
        <f t="array" ref="D113">_xlfn.IFS(C113&lt;30, "20-29",C113&lt;40, "30-39",C113&lt;50, "40-49",C113&lt;60, "50-59",Table4[[#This Row],[Age]]&gt;=60, "60+"  )</f>
        <v>50-59</v>
      </c>
      <c r="E113" t="s">
        <v>12</v>
      </c>
      <c r="F113" t="b">
        <v>1</v>
      </c>
      <c r="G113" s="1">
        <v>31169</v>
      </c>
      <c r="H113">
        <v>30</v>
      </c>
      <c r="I113" s="5" t="str" cm="1">
        <f t="array" ref="I113">_xlfn.IFS(Table4[[#This Row],[Experience]]&lt;15, "7-15 YEARS",Table4[[#This Row],[Experience]]&lt;23, "15-23  YEARS",Table4[[#This Row],[Experience]]&lt;30, "23-30 YEARS",Table4[[#This Row],[Experience]]&gt;=30, "30+ YEARS")</f>
        <v>30+ YEARS</v>
      </c>
      <c r="J113">
        <v>244973</v>
      </c>
      <c r="K113" s="5" t="str" cm="1">
        <f t="array" ref="K113">_xlfn.IFS(Table4[[#This Row],[Salary]]&lt;50000, "0-50K",Table4[[#This Row],[Salary]]&lt;100000, "50K-1L",Table4[[#This Row],[Salary]]&lt;150000, "1L-1.5L",Table4[[#This Row],[Salary]]&lt;200000, "1.5-2L",Table4[[#This Row],[Salary]]&gt;=200000, "2L+")</f>
        <v>2L+</v>
      </c>
    </row>
    <row r="114" spans="1:11" x14ac:dyDescent="0.3">
      <c r="A114">
        <v>112</v>
      </c>
      <c r="B114">
        <v>1061</v>
      </c>
      <c r="C114">
        <v>37</v>
      </c>
      <c r="D114" s="5" t="str" cm="1">
        <f t="array" ref="D114">_xlfn.IFS(C114&lt;30, "20-29",C114&lt;40, "30-39",C114&lt;50, "40-49",C114&lt;60, "50-59",Table4[[#This Row],[Age]]&gt;=60, "60+"  )</f>
        <v>30-39</v>
      </c>
      <c r="E114" t="s">
        <v>9</v>
      </c>
      <c r="F114" t="b">
        <v>0</v>
      </c>
      <c r="G114" s="1">
        <v>30961</v>
      </c>
      <c r="H114">
        <v>20</v>
      </c>
      <c r="I114" s="5" t="str" cm="1">
        <f t="array" ref="I114">_xlfn.IFS(Table4[[#This Row],[Experience]]&lt;15, "7-15 YEARS",Table4[[#This Row],[Experience]]&lt;23, "15-23  YEARS",Table4[[#This Row],[Experience]]&lt;30, "23-30 YEARS",Table4[[#This Row],[Experience]]&gt;=30, "30+ YEARS")</f>
        <v>15-23  YEARS</v>
      </c>
      <c r="J114">
        <v>160566</v>
      </c>
      <c r="K114" s="5" t="str" cm="1">
        <f t="array" ref="K114">_xlfn.IFS(Table4[[#This Row],[Salary]]&lt;50000, "0-50K",Table4[[#This Row],[Salary]]&lt;100000, "50K-1L",Table4[[#This Row],[Salary]]&lt;150000, "1L-1.5L",Table4[[#This Row],[Salary]]&lt;200000, "1.5-2L",Table4[[#This Row],[Salary]]&gt;=200000, "2L+")</f>
        <v>1.5-2L</v>
      </c>
    </row>
    <row r="115" spans="1:11" x14ac:dyDescent="0.3">
      <c r="A115">
        <v>113</v>
      </c>
      <c r="B115">
        <v>6101</v>
      </c>
      <c r="C115">
        <v>43</v>
      </c>
      <c r="D115" s="5" t="str" cm="1">
        <f t="array" ref="D115">_xlfn.IFS(C115&lt;30, "20-29",C115&lt;40, "30-39",C115&lt;50, "40-49",C115&lt;60, "50-59",Table4[[#This Row],[Age]]&gt;=60, "60+"  )</f>
        <v>40-49</v>
      </c>
      <c r="E115" t="s">
        <v>12</v>
      </c>
      <c r="F115" t="b">
        <v>1</v>
      </c>
      <c r="G115" s="1">
        <v>39304</v>
      </c>
      <c r="H115">
        <v>23</v>
      </c>
      <c r="I115" s="5" t="str" cm="1">
        <f t="array" ref="I115">_xlfn.IFS(Table4[[#This Row],[Experience]]&lt;15, "7-15 YEARS",Table4[[#This Row],[Experience]]&lt;23, "15-23  YEARS",Table4[[#This Row],[Experience]]&lt;30, "23-30 YEARS",Table4[[#This Row],[Experience]]&gt;=30, "30+ YEARS")</f>
        <v>23-30 YEARS</v>
      </c>
      <c r="J115">
        <v>177312</v>
      </c>
      <c r="K115" s="5" t="str" cm="1">
        <f t="array" ref="K115">_xlfn.IFS(Table4[[#This Row],[Salary]]&lt;50000, "0-50K",Table4[[#This Row],[Salary]]&lt;100000, "50K-1L",Table4[[#This Row],[Salary]]&lt;150000, "1L-1.5L",Table4[[#This Row],[Salary]]&lt;200000, "1.5-2L",Table4[[#This Row],[Salary]]&gt;=200000, "2L+")</f>
        <v>1.5-2L</v>
      </c>
    </row>
    <row r="116" spans="1:11" x14ac:dyDescent="0.3">
      <c r="A116">
        <v>114</v>
      </c>
      <c r="B116">
        <v>5338</v>
      </c>
      <c r="C116">
        <v>24</v>
      </c>
      <c r="D116" s="5" t="str" cm="1">
        <f t="array" ref="D116">_xlfn.IFS(C116&lt;30, "20-29",C116&lt;40, "30-39",C116&lt;50, "40-49",C116&lt;60, "50-59",Table4[[#This Row],[Age]]&gt;=60, "60+"  )</f>
        <v>20-29</v>
      </c>
      <c r="E116" t="s">
        <v>10</v>
      </c>
      <c r="F116" t="b">
        <v>0</v>
      </c>
      <c r="G116" s="1">
        <v>42588</v>
      </c>
      <c r="H116">
        <v>12</v>
      </c>
      <c r="I116" s="5" t="str" cm="1">
        <f t="array" ref="I116">_xlfn.IFS(Table4[[#This Row],[Experience]]&lt;15, "7-15 YEARS",Table4[[#This Row],[Experience]]&lt;23, "15-23  YEARS",Table4[[#This Row],[Experience]]&lt;30, "23-30 YEARS",Table4[[#This Row],[Experience]]&gt;=30, "30+ YEARS")</f>
        <v>7-15 YEARS</v>
      </c>
      <c r="J116">
        <v>92967</v>
      </c>
      <c r="K116" s="5" t="str" cm="1">
        <f t="array" ref="K116">_xlfn.IFS(Table4[[#This Row],[Salary]]&lt;50000, "0-50K",Table4[[#This Row],[Salary]]&lt;100000, "50K-1L",Table4[[#This Row],[Salary]]&lt;150000, "1L-1.5L",Table4[[#This Row],[Salary]]&lt;200000, "1.5-2L",Table4[[#This Row],[Salary]]&gt;=200000, "2L+")</f>
        <v>50K-1L</v>
      </c>
    </row>
    <row r="117" spans="1:11" x14ac:dyDescent="0.3">
      <c r="A117">
        <v>115</v>
      </c>
      <c r="B117">
        <v>3697</v>
      </c>
      <c r="C117">
        <v>46</v>
      </c>
      <c r="D117" s="5" t="str" cm="1">
        <f t="array" ref="D117">_xlfn.IFS(C117&lt;30, "20-29",C117&lt;40, "30-39",C117&lt;50, "40-49",C117&lt;60, "50-59",Table4[[#This Row],[Age]]&gt;=60, "60+"  )</f>
        <v>40-49</v>
      </c>
      <c r="E117" t="s">
        <v>10</v>
      </c>
      <c r="F117" t="b">
        <v>0</v>
      </c>
      <c r="G117" s="1">
        <v>37488</v>
      </c>
      <c r="H117">
        <v>25</v>
      </c>
      <c r="I117" s="5" t="str" cm="1">
        <f t="array" ref="I117">_xlfn.IFS(Table4[[#This Row],[Experience]]&lt;15, "7-15 YEARS",Table4[[#This Row],[Experience]]&lt;23, "15-23  YEARS",Table4[[#This Row],[Experience]]&lt;30, "23-30 YEARS",Table4[[#This Row],[Experience]]&gt;=30, "30+ YEARS")</f>
        <v>23-30 YEARS</v>
      </c>
      <c r="J117">
        <v>208044</v>
      </c>
      <c r="K117" s="5" t="str" cm="1">
        <f t="array" ref="K117">_xlfn.IFS(Table4[[#This Row],[Salary]]&lt;50000, "0-50K",Table4[[#This Row],[Salary]]&lt;100000, "50K-1L",Table4[[#This Row],[Salary]]&lt;150000, "1L-1.5L",Table4[[#This Row],[Salary]]&lt;200000, "1.5-2L",Table4[[#This Row],[Salary]]&gt;=200000, "2L+")</f>
        <v>2L+</v>
      </c>
    </row>
    <row r="118" spans="1:11" x14ac:dyDescent="0.3">
      <c r="A118">
        <v>116</v>
      </c>
      <c r="B118">
        <v>6704</v>
      </c>
      <c r="C118">
        <v>60</v>
      </c>
      <c r="D118" s="5" t="str" cm="1">
        <f t="array" ref="D118">_xlfn.IFS(C118&lt;30, "20-29",C118&lt;40, "30-39",C118&lt;50, "40-49",C118&lt;60, "50-59",Table4[[#This Row],[Age]]&gt;=60, "60+"  )</f>
        <v>60+</v>
      </c>
      <c r="E118" t="s">
        <v>8</v>
      </c>
      <c r="F118" t="b">
        <v>0</v>
      </c>
      <c r="G118" s="1">
        <v>40190</v>
      </c>
      <c r="H118">
        <v>29</v>
      </c>
      <c r="I118" s="5" t="str" cm="1">
        <f t="array" ref="I118">_xlfn.IFS(Table4[[#This Row],[Experience]]&lt;15, "7-15 YEARS",Table4[[#This Row],[Experience]]&lt;23, "15-23  YEARS",Table4[[#This Row],[Experience]]&lt;30, "23-30 YEARS",Table4[[#This Row],[Experience]]&gt;=30, "30+ YEARS")</f>
        <v>23-30 YEARS</v>
      </c>
      <c r="J118">
        <v>225723</v>
      </c>
      <c r="K118" s="5" t="str" cm="1">
        <f t="array" ref="K118">_xlfn.IFS(Table4[[#This Row],[Salary]]&lt;50000, "0-50K",Table4[[#This Row],[Salary]]&lt;100000, "50K-1L",Table4[[#This Row],[Salary]]&lt;150000, "1L-1.5L",Table4[[#This Row],[Salary]]&lt;200000, "1.5-2L",Table4[[#This Row],[Salary]]&gt;=200000, "2L+")</f>
        <v>2L+</v>
      </c>
    </row>
    <row r="119" spans="1:11" x14ac:dyDescent="0.3">
      <c r="A119">
        <v>117</v>
      </c>
      <c r="B119">
        <v>1819</v>
      </c>
      <c r="C119">
        <v>61</v>
      </c>
      <c r="D119" s="5" t="str" cm="1">
        <f t="array" ref="D119">_xlfn.IFS(C119&lt;30, "20-29",C119&lt;40, "30-39",C119&lt;50, "40-49",C119&lt;60, "50-59",Table4[[#This Row],[Age]]&gt;=60, "60+"  )</f>
        <v>60+</v>
      </c>
      <c r="E119" t="s">
        <v>12</v>
      </c>
      <c r="F119" t="b">
        <v>0</v>
      </c>
      <c r="G119" s="1">
        <v>40944</v>
      </c>
      <c r="H119">
        <v>26</v>
      </c>
      <c r="I119" s="5" t="str" cm="1">
        <f t="array" ref="I119">_xlfn.IFS(Table4[[#This Row],[Experience]]&lt;15, "7-15 YEARS",Table4[[#This Row],[Experience]]&lt;23, "15-23  YEARS",Table4[[#This Row],[Experience]]&lt;30, "23-30 YEARS",Table4[[#This Row],[Experience]]&gt;=30, "30+ YEARS")</f>
        <v>23-30 YEARS</v>
      </c>
      <c r="J119">
        <v>208426</v>
      </c>
      <c r="K119" s="5" t="str" cm="1">
        <f t="array" ref="K119">_xlfn.IFS(Table4[[#This Row],[Salary]]&lt;50000, "0-50K",Table4[[#This Row],[Salary]]&lt;100000, "50K-1L",Table4[[#This Row],[Salary]]&lt;150000, "1L-1.5L",Table4[[#This Row],[Salary]]&lt;200000, "1.5-2L",Table4[[#This Row],[Salary]]&gt;=200000, "2L+")</f>
        <v>2L+</v>
      </c>
    </row>
    <row r="120" spans="1:11" x14ac:dyDescent="0.3">
      <c r="A120">
        <v>118</v>
      </c>
      <c r="B120">
        <v>4425</v>
      </c>
      <c r="C120">
        <v>61</v>
      </c>
      <c r="D120" s="5" t="str" cm="1">
        <f t="array" ref="D120">_xlfn.IFS(C120&lt;30, "20-29",C120&lt;40, "30-39",C120&lt;50, "40-49",C120&lt;60, "50-59",Table4[[#This Row],[Age]]&gt;=60, "60+"  )</f>
        <v>60+</v>
      </c>
      <c r="E120" t="s">
        <v>12</v>
      </c>
      <c r="F120" t="b">
        <v>0</v>
      </c>
      <c r="G120" s="1">
        <v>28786</v>
      </c>
      <c r="H120">
        <v>35</v>
      </c>
      <c r="I120" s="5" t="str" cm="1">
        <f t="array" ref="I120">_xlfn.IFS(Table4[[#This Row],[Experience]]&lt;15, "7-15 YEARS",Table4[[#This Row],[Experience]]&lt;23, "15-23  YEARS",Table4[[#This Row],[Experience]]&lt;30, "23-30 YEARS",Table4[[#This Row],[Experience]]&gt;=30, "30+ YEARS")</f>
        <v>30+ YEARS</v>
      </c>
      <c r="J120">
        <v>279946</v>
      </c>
      <c r="K120" s="5" t="str" cm="1">
        <f t="array" ref="K120">_xlfn.IFS(Table4[[#This Row],[Salary]]&lt;50000, "0-50K",Table4[[#This Row],[Salary]]&lt;100000, "50K-1L",Table4[[#This Row],[Salary]]&lt;150000, "1L-1.5L",Table4[[#This Row],[Salary]]&lt;200000, "1.5-2L",Table4[[#This Row],[Salary]]&gt;=200000, "2L+")</f>
        <v>2L+</v>
      </c>
    </row>
    <row r="121" spans="1:11" x14ac:dyDescent="0.3">
      <c r="A121">
        <v>119</v>
      </c>
      <c r="B121">
        <v>2499</v>
      </c>
      <c r="C121">
        <v>29</v>
      </c>
      <c r="D121" s="5" t="str" cm="1">
        <f t="array" ref="D121">_xlfn.IFS(C121&lt;30, "20-29",C121&lt;40, "30-39",C121&lt;50, "40-49",C121&lt;60, "50-59",Table4[[#This Row],[Age]]&gt;=60, "60+"  )</f>
        <v>20-29</v>
      </c>
      <c r="E121" t="s">
        <v>8</v>
      </c>
      <c r="F121" t="b">
        <v>1</v>
      </c>
      <c r="G121" s="1">
        <v>39014</v>
      </c>
      <c r="H121">
        <v>16</v>
      </c>
      <c r="I121" s="5" t="str" cm="1">
        <f t="array" ref="I121">_xlfn.IFS(Table4[[#This Row],[Experience]]&lt;15, "7-15 YEARS",Table4[[#This Row],[Experience]]&lt;23, "15-23  YEARS",Table4[[#This Row],[Experience]]&lt;30, "23-30 YEARS",Table4[[#This Row],[Experience]]&gt;=30, "30+ YEARS")</f>
        <v>15-23  YEARS</v>
      </c>
      <c r="J121">
        <v>129970</v>
      </c>
      <c r="K121" s="5" t="str" cm="1">
        <f t="array" ref="K121">_xlfn.IFS(Table4[[#This Row],[Salary]]&lt;50000, "0-50K",Table4[[#This Row],[Salary]]&lt;100000, "50K-1L",Table4[[#This Row],[Salary]]&lt;150000, "1L-1.5L",Table4[[#This Row],[Salary]]&lt;200000, "1.5-2L",Table4[[#This Row],[Salary]]&gt;=200000, "2L+")</f>
        <v>1L-1.5L</v>
      </c>
    </row>
    <row r="122" spans="1:11" x14ac:dyDescent="0.3">
      <c r="A122">
        <v>120</v>
      </c>
      <c r="B122">
        <v>4801</v>
      </c>
      <c r="C122">
        <v>54</v>
      </c>
      <c r="D122" s="5" t="str" cm="1">
        <f t="array" ref="D122">_xlfn.IFS(C122&lt;30, "20-29",C122&lt;40, "30-39",C122&lt;50, "40-49",C122&lt;60, "50-59",Table4[[#This Row],[Age]]&gt;=60, "60+"  )</f>
        <v>50-59</v>
      </c>
      <c r="E122" t="s">
        <v>11</v>
      </c>
      <c r="F122" t="b">
        <v>0</v>
      </c>
      <c r="G122" s="1">
        <v>31147</v>
      </c>
      <c r="H122">
        <v>28</v>
      </c>
      <c r="I122" s="5" t="str" cm="1">
        <f t="array" ref="I122">_xlfn.IFS(Table4[[#This Row],[Experience]]&lt;15, "7-15 YEARS",Table4[[#This Row],[Experience]]&lt;23, "15-23  YEARS",Table4[[#This Row],[Experience]]&lt;30, "23-30 YEARS",Table4[[#This Row],[Experience]]&gt;=30, "30+ YEARS")</f>
        <v>23-30 YEARS</v>
      </c>
      <c r="J122">
        <v>225408</v>
      </c>
      <c r="K122" s="5" t="str" cm="1">
        <f t="array" ref="K122">_xlfn.IFS(Table4[[#This Row],[Salary]]&lt;50000, "0-50K",Table4[[#This Row],[Salary]]&lt;100000, "50K-1L",Table4[[#This Row],[Salary]]&lt;150000, "1L-1.5L",Table4[[#This Row],[Salary]]&lt;200000, "1.5-2L",Table4[[#This Row],[Salary]]&gt;=200000, "2L+")</f>
        <v>2L+</v>
      </c>
    </row>
    <row r="123" spans="1:11" x14ac:dyDescent="0.3">
      <c r="A123">
        <v>121</v>
      </c>
      <c r="B123">
        <v>8001</v>
      </c>
      <c r="C123">
        <v>32</v>
      </c>
      <c r="D123" s="5" t="str" cm="1">
        <f t="array" ref="D123">_xlfn.IFS(C123&lt;30, "20-29",C123&lt;40, "30-39",C123&lt;50, "40-49",C123&lt;60, "50-59",Table4[[#This Row],[Age]]&gt;=60, "60+"  )</f>
        <v>30-39</v>
      </c>
      <c r="E123" t="s">
        <v>12</v>
      </c>
      <c r="F123" t="b">
        <v>0</v>
      </c>
      <c r="G123" s="1">
        <v>38851</v>
      </c>
      <c r="H123">
        <v>16</v>
      </c>
      <c r="I123" s="5" t="str" cm="1">
        <f t="array" ref="I123">_xlfn.IFS(Table4[[#This Row],[Experience]]&lt;15, "7-15 YEARS",Table4[[#This Row],[Experience]]&lt;23, "15-23  YEARS",Table4[[#This Row],[Experience]]&lt;30, "23-30 YEARS",Table4[[#This Row],[Experience]]&gt;=30, "30+ YEARS")</f>
        <v>15-23  YEARS</v>
      </c>
      <c r="J123">
        <v>125760</v>
      </c>
      <c r="K123" s="5" t="str" cm="1">
        <f t="array" ref="K123">_xlfn.IFS(Table4[[#This Row],[Salary]]&lt;50000, "0-50K",Table4[[#This Row],[Salary]]&lt;100000, "50K-1L",Table4[[#This Row],[Salary]]&lt;150000, "1L-1.5L",Table4[[#This Row],[Salary]]&lt;200000, "1.5-2L",Table4[[#This Row],[Salary]]&gt;=200000, "2L+")</f>
        <v>1L-1.5L</v>
      </c>
    </row>
    <row r="124" spans="1:11" x14ac:dyDescent="0.3">
      <c r="A124">
        <v>122</v>
      </c>
      <c r="B124">
        <v>5263</v>
      </c>
      <c r="C124">
        <v>28</v>
      </c>
      <c r="D124" s="5" t="str" cm="1">
        <f t="array" ref="D124">_xlfn.IFS(C124&lt;30, "20-29",C124&lt;40, "30-39",C124&lt;50, "40-49",C124&lt;60, "50-59",Table4[[#This Row],[Age]]&gt;=60, "60+"  )</f>
        <v>20-29</v>
      </c>
      <c r="E124" t="s">
        <v>9</v>
      </c>
      <c r="F124" t="b">
        <v>1</v>
      </c>
      <c r="G124" s="1">
        <v>38841</v>
      </c>
      <c r="H124">
        <v>12</v>
      </c>
      <c r="I124" s="5" t="str" cm="1">
        <f t="array" ref="I124">_xlfn.IFS(Table4[[#This Row],[Experience]]&lt;15, "7-15 YEARS",Table4[[#This Row],[Experience]]&lt;23, "15-23  YEARS",Table4[[#This Row],[Experience]]&lt;30, "23-30 YEARS",Table4[[#This Row],[Experience]]&gt;=30, "30+ YEARS")</f>
        <v>7-15 YEARS</v>
      </c>
      <c r="J124">
        <v>92056</v>
      </c>
      <c r="K124" s="5" t="str" cm="1">
        <f t="array" ref="K124">_xlfn.IFS(Table4[[#This Row],[Salary]]&lt;50000, "0-50K",Table4[[#This Row],[Salary]]&lt;100000, "50K-1L",Table4[[#This Row],[Salary]]&lt;150000, "1L-1.5L",Table4[[#This Row],[Salary]]&lt;200000, "1.5-2L",Table4[[#This Row],[Salary]]&gt;=200000, "2L+")</f>
        <v>50K-1L</v>
      </c>
    </row>
    <row r="125" spans="1:11" x14ac:dyDescent="0.3">
      <c r="A125">
        <v>123</v>
      </c>
      <c r="B125">
        <v>7486</v>
      </c>
      <c r="C125">
        <v>45</v>
      </c>
      <c r="D125" s="5" t="str" cm="1">
        <f t="array" ref="D125">_xlfn.IFS(C125&lt;30, "20-29",C125&lt;40, "30-39",C125&lt;50, "40-49",C125&lt;60, "50-59",Table4[[#This Row],[Age]]&gt;=60, "60+"  )</f>
        <v>40-49</v>
      </c>
      <c r="E125" t="s">
        <v>12</v>
      </c>
      <c r="F125" t="b">
        <v>1</v>
      </c>
      <c r="G125" s="1">
        <v>43095</v>
      </c>
      <c r="H125">
        <v>23</v>
      </c>
      <c r="I125" s="5" t="str" cm="1">
        <f t="array" ref="I125">_xlfn.IFS(Table4[[#This Row],[Experience]]&lt;15, "7-15 YEARS",Table4[[#This Row],[Experience]]&lt;23, "15-23  YEARS",Table4[[#This Row],[Experience]]&lt;30, "23-30 YEARS",Table4[[#This Row],[Experience]]&gt;=30, "30+ YEARS")</f>
        <v>23-30 YEARS</v>
      </c>
      <c r="J125">
        <v>186546</v>
      </c>
      <c r="K125" s="5" t="str" cm="1">
        <f t="array" ref="K125">_xlfn.IFS(Table4[[#This Row],[Salary]]&lt;50000, "0-50K",Table4[[#This Row],[Salary]]&lt;100000, "50K-1L",Table4[[#This Row],[Salary]]&lt;150000, "1L-1.5L",Table4[[#This Row],[Salary]]&lt;200000, "1.5-2L",Table4[[#This Row],[Salary]]&gt;=200000, "2L+")</f>
        <v>1.5-2L</v>
      </c>
    </row>
    <row r="126" spans="1:11" x14ac:dyDescent="0.3">
      <c r="A126">
        <v>124</v>
      </c>
      <c r="B126">
        <v>3717</v>
      </c>
      <c r="C126">
        <v>58</v>
      </c>
      <c r="D126" s="5" t="str" cm="1">
        <f t="array" ref="D126">_xlfn.IFS(C126&lt;30, "20-29",C126&lt;40, "30-39",C126&lt;50, "40-49",C126&lt;60, "50-59",Table4[[#This Row],[Age]]&gt;=60, "60+"  )</f>
        <v>50-59</v>
      </c>
      <c r="E126" t="s">
        <v>9</v>
      </c>
      <c r="F126" t="b">
        <v>0</v>
      </c>
      <c r="G126" s="1">
        <v>43957</v>
      </c>
      <c r="H126">
        <v>26</v>
      </c>
      <c r="I126" s="5" t="str" cm="1">
        <f t="array" ref="I126">_xlfn.IFS(Table4[[#This Row],[Experience]]&lt;15, "7-15 YEARS",Table4[[#This Row],[Experience]]&lt;23, "15-23  YEARS",Table4[[#This Row],[Experience]]&lt;30, "23-30 YEARS",Table4[[#This Row],[Experience]]&gt;=30, "30+ YEARS")</f>
        <v>23-30 YEARS</v>
      </c>
      <c r="J126">
        <v>215978</v>
      </c>
      <c r="K126" s="5" t="str" cm="1">
        <f t="array" ref="K126">_xlfn.IFS(Table4[[#This Row],[Salary]]&lt;50000, "0-50K",Table4[[#This Row],[Salary]]&lt;100000, "50K-1L",Table4[[#This Row],[Salary]]&lt;150000, "1L-1.5L",Table4[[#This Row],[Salary]]&lt;200000, "1.5-2L",Table4[[#This Row],[Salary]]&gt;=200000, "2L+")</f>
        <v>2L+</v>
      </c>
    </row>
    <row r="127" spans="1:11" x14ac:dyDescent="0.3">
      <c r="A127">
        <v>125</v>
      </c>
      <c r="B127">
        <v>1861</v>
      </c>
      <c r="C127">
        <v>48</v>
      </c>
      <c r="D127" s="5" t="str" cm="1">
        <f t="array" ref="D127">_xlfn.IFS(C127&lt;30, "20-29",C127&lt;40, "30-39",C127&lt;50, "40-49",C127&lt;60, "50-59",Table4[[#This Row],[Age]]&gt;=60, "60+"  )</f>
        <v>40-49</v>
      </c>
      <c r="E127" t="s">
        <v>10</v>
      </c>
      <c r="F127" t="b">
        <v>1</v>
      </c>
      <c r="G127" s="1">
        <v>28952</v>
      </c>
      <c r="H127">
        <v>25</v>
      </c>
      <c r="I127" s="5" t="str" cm="1">
        <f t="array" ref="I127">_xlfn.IFS(Table4[[#This Row],[Experience]]&lt;15, "7-15 YEARS",Table4[[#This Row],[Experience]]&lt;23, "15-23  YEARS",Table4[[#This Row],[Experience]]&lt;30, "23-30 YEARS",Table4[[#This Row],[Experience]]&gt;=30, "30+ YEARS")</f>
        <v>23-30 YEARS</v>
      </c>
      <c r="J127">
        <v>185892</v>
      </c>
      <c r="K127" s="5" t="str" cm="1">
        <f t="array" ref="K127">_xlfn.IFS(Table4[[#This Row],[Salary]]&lt;50000, "0-50K",Table4[[#This Row],[Salary]]&lt;100000, "50K-1L",Table4[[#This Row],[Salary]]&lt;150000, "1L-1.5L",Table4[[#This Row],[Salary]]&lt;200000, "1.5-2L",Table4[[#This Row],[Salary]]&gt;=200000, "2L+")</f>
        <v>1.5-2L</v>
      </c>
    </row>
    <row r="128" spans="1:11" x14ac:dyDescent="0.3">
      <c r="A128">
        <v>126</v>
      </c>
      <c r="B128">
        <v>1204</v>
      </c>
      <c r="C128">
        <v>40</v>
      </c>
      <c r="D128" s="5" t="str" cm="1">
        <f t="array" ref="D128">_xlfn.IFS(C128&lt;30, "20-29",C128&lt;40, "30-39",C128&lt;50, "40-49",C128&lt;60, "50-59",Table4[[#This Row],[Age]]&gt;=60, "60+"  )</f>
        <v>40-49</v>
      </c>
      <c r="E128" t="s">
        <v>11</v>
      </c>
      <c r="F128" t="b">
        <v>0</v>
      </c>
      <c r="G128" s="1">
        <v>29902</v>
      </c>
      <c r="H128">
        <v>21</v>
      </c>
      <c r="I128" s="5" t="str" cm="1">
        <f t="array" ref="I128">_xlfn.IFS(Table4[[#This Row],[Experience]]&lt;15, "7-15 YEARS",Table4[[#This Row],[Experience]]&lt;23, "15-23  YEARS",Table4[[#This Row],[Experience]]&lt;30, "23-30 YEARS",Table4[[#This Row],[Experience]]&gt;=30, "30+ YEARS")</f>
        <v>15-23  YEARS</v>
      </c>
      <c r="J128">
        <v>158986</v>
      </c>
      <c r="K128" s="5" t="str" cm="1">
        <f t="array" ref="K128">_xlfn.IFS(Table4[[#This Row],[Salary]]&lt;50000, "0-50K",Table4[[#This Row],[Salary]]&lt;100000, "50K-1L",Table4[[#This Row],[Salary]]&lt;150000, "1L-1.5L",Table4[[#This Row],[Salary]]&lt;200000, "1.5-2L",Table4[[#This Row],[Salary]]&gt;=200000, "2L+")</f>
        <v>1.5-2L</v>
      </c>
    </row>
    <row r="129" spans="1:11" x14ac:dyDescent="0.3">
      <c r="A129">
        <v>127</v>
      </c>
      <c r="B129">
        <v>8608</v>
      </c>
      <c r="C129">
        <v>55</v>
      </c>
      <c r="D129" s="5" t="str" cm="1">
        <f t="array" ref="D129">_xlfn.IFS(C129&lt;30, "20-29",C129&lt;40, "30-39",C129&lt;50, "40-49",C129&lt;60, "50-59",Table4[[#This Row],[Age]]&gt;=60, "60+"  )</f>
        <v>50-59</v>
      </c>
      <c r="E129" t="s">
        <v>8</v>
      </c>
      <c r="F129" t="b">
        <v>1</v>
      </c>
      <c r="G129" s="1">
        <v>43164</v>
      </c>
      <c r="H129">
        <v>26</v>
      </c>
      <c r="I129" s="5" t="str" cm="1">
        <f t="array" ref="I129">_xlfn.IFS(Table4[[#This Row],[Experience]]&lt;15, "7-15 YEARS",Table4[[#This Row],[Experience]]&lt;23, "15-23  YEARS",Table4[[#This Row],[Experience]]&lt;30, "23-30 YEARS",Table4[[#This Row],[Experience]]&gt;=30, "30+ YEARS")</f>
        <v>23-30 YEARS</v>
      </c>
      <c r="J129">
        <v>202823</v>
      </c>
      <c r="K129" s="5" t="str" cm="1">
        <f t="array" ref="K129">_xlfn.IFS(Table4[[#This Row],[Salary]]&lt;50000, "0-50K",Table4[[#This Row],[Salary]]&lt;100000, "50K-1L",Table4[[#This Row],[Salary]]&lt;150000, "1L-1.5L",Table4[[#This Row],[Salary]]&lt;200000, "1.5-2L",Table4[[#This Row],[Salary]]&gt;=200000, "2L+")</f>
        <v>2L+</v>
      </c>
    </row>
    <row r="130" spans="1:11" x14ac:dyDescent="0.3">
      <c r="A130">
        <v>128</v>
      </c>
      <c r="B130">
        <v>9278</v>
      </c>
      <c r="C130">
        <v>56</v>
      </c>
      <c r="D130" s="5" t="str" cm="1">
        <f t="array" ref="D130">_xlfn.IFS(C130&lt;30, "20-29",C130&lt;40, "30-39",C130&lt;50, "40-49",C130&lt;60, "50-59",Table4[[#This Row],[Age]]&gt;=60, "60+"  )</f>
        <v>50-59</v>
      </c>
      <c r="E130" t="s">
        <v>11</v>
      </c>
      <c r="F130" t="b">
        <v>0</v>
      </c>
      <c r="G130" s="1">
        <v>30923</v>
      </c>
      <c r="H130">
        <v>25</v>
      </c>
      <c r="I130" s="5" t="str" cm="1">
        <f t="array" ref="I130">_xlfn.IFS(Table4[[#This Row],[Experience]]&lt;15, "7-15 YEARS",Table4[[#This Row],[Experience]]&lt;23, "15-23  YEARS",Table4[[#This Row],[Experience]]&lt;30, "23-30 YEARS",Table4[[#This Row],[Experience]]&gt;=30, "30+ YEARS")</f>
        <v>23-30 YEARS</v>
      </c>
      <c r="J130">
        <v>198549</v>
      </c>
      <c r="K130" s="5" t="str" cm="1">
        <f t="array" ref="K130">_xlfn.IFS(Table4[[#This Row],[Salary]]&lt;50000, "0-50K",Table4[[#This Row],[Salary]]&lt;100000, "50K-1L",Table4[[#This Row],[Salary]]&lt;150000, "1L-1.5L",Table4[[#This Row],[Salary]]&lt;200000, "1.5-2L",Table4[[#This Row],[Salary]]&gt;=200000, "2L+")</f>
        <v>1.5-2L</v>
      </c>
    </row>
    <row r="131" spans="1:11" x14ac:dyDescent="0.3">
      <c r="A131">
        <v>129</v>
      </c>
      <c r="B131">
        <v>1084</v>
      </c>
      <c r="C131">
        <v>32</v>
      </c>
      <c r="D131" s="5" t="str" cm="1">
        <f t="array" ref="D131">_xlfn.IFS(C131&lt;30, "20-29",C131&lt;40, "30-39",C131&lt;50, "40-49",C131&lt;60, "50-59",Table4[[#This Row],[Age]]&gt;=60, "60+"  )</f>
        <v>30-39</v>
      </c>
      <c r="E131" t="s">
        <v>9</v>
      </c>
      <c r="F131" t="b">
        <v>1</v>
      </c>
      <c r="G131" s="1">
        <v>43210</v>
      </c>
      <c r="H131">
        <v>17</v>
      </c>
      <c r="I131" s="5" t="str" cm="1">
        <f t="array" ref="I131">_xlfn.IFS(Table4[[#This Row],[Experience]]&lt;15, "7-15 YEARS",Table4[[#This Row],[Experience]]&lt;23, "15-23  YEARS",Table4[[#This Row],[Experience]]&lt;30, "23-30 YEARS",Table4[[#This Row],[Experience]]&gt;=30, "30+ YEARS")</f>
        <v>15-23  YEARS</v>
      </c>
      <c r="J131">
        <v>142300</v>
      </c>
      <c r="K131" s="5" t="str" cm="1">
        <f t="array" ref="K131">_xlfn.IFS(Table4[[#This Row],[Salary]]&lt;50000, "0-50K",Table4[[#This Row],[Salary]]&lt;100000, "50K-1L",Table4[[#This Row],[Salary]]&lt;150000, "1L-1.5L",Table4[[#This Row],[Salary]]&lt;200000, "1.5-2L",Table4[[#This Row],[Salary]]&gt;=200000, "2L+")</f>
        <v>1L-1.5L</v>
      </c>
    </row>
    <row r="132" spans="1:11" x14ac:dyDescent="0.3">
      <c r="A132">
        <v>130</v>
      </c>
      <c r="B132">
        <v>3305</v>
      </c>
      <c r="C132">
        <v>63</v>
      </c>
      <c r="D132" s="5" t="str" cm="1">
        <f t="array" ref="D132">_xlfn.IFS(C132&lt;30, "20-29",C132&lt;40, "30-39",C132&lt;50, "40-49",C132&lt;60, "50-59",Table4[[#This Row],[Age]]&gt;=60, "60+"  )</f>
        <v>60+</v>
      </c>
      <c r="E132" t="s">
        <v>12</v>
      </c>
      <c r="F132" t="b">
        <v>1</v>
      </c>
      <c r="G132" s="1">
        <v>42630</v>
      </c>
      <c r="H132">
        <v>29</v>
      </c>
      <c r="I132" s="5" t="str" cm="1">
        <f t="array" ref="I132">_xlfn.IFS(Table4[[#This Row],[Experience]]&lt;15, "7-15 YEARS",Table4[[#This Row],[Experience]]&lt;23, "15-23  YEARS",Table4[[#This Row],[Experience]]&lt;30, "23-30 YEARS",Table4[[#This Row],[Experience]]&gt;=30, "30+ YEARS")</f>
        <v>23-30 YEARS</v>
      </c>
      <c r="J132">
        <v>232577</v>
      </c>
      <c r="K132" s="5" t="str" cm="1">
        <f t="array" ref="K132">_xlfn.IFS(Table4[[#This Row],[Salary]]&lt;50000, "0-50K",Table4[[#This Row],[Salary]]&lt;100000, "50K-1L",Table4[[#This Row],[Salary]]&lt;150000, "1L-1.5L",Table4[[#This Row],[Salary]]&lt;200000, "1.5-2L",Table4[[#This Row],[Salary]]&gt;=200000, "2L+")</f>
        <v>2L+</v>
      </c>
    </row>
    <row r="133" spans="1:11" x14ac:dyDescent="0.3">
      <c r="A133">
        <v>131</v>
      </c>
      <c r="B133">
        <v>1262</v>
      </c>
      <c r="C133">
        <v>49</v>
      </c>
      <c r="D133" s="5" t="str" cm="1">
        <f t="array" ref="D133">_xlfn.IFS(C133&lt;30, "20-29",C133&lt;40, "30-39",C133&lt;50, "40-49",C133&lt;60, "50-59",Table4[[#This Row],[Age]]&gt;=60, "60+"  )</f>
        <v>40-49</v>
      </c>
      <c r="E133" t="s">
        <v>8</v>
      </c>
      <c r="F133" t="b">
        <v>1</v>
      </c>
      <c r="G133" s="1">
        <v>37743</v>
      </c>
      <c r="H133">
        <v>24</v>
      </c>
      <c r="I133" s="5" t="str" cm="1">
        <f t="array" ref="I133">_xlfn.IFS(Table4[[#This Row],[Experience]]&lt;15, "7-15 YEARS",Table4[[#This Row],[Experience]]&lt;23, "15-23  YEARS",Table4[[#This Row],[Experience]]&lt;30, "23-30 YEARS",Table4[[#This Row],[Experience]]&gt;=30, "30+ YEARS")</f>
        <v>23-30 YEARS</v>
      </c>
      <c r="J133">
        <v>196293</v>
      </c>
      <c r="K133" s="5" t="str" cm="1">
        <f t="array" ref="K133">_xlfn.IFS(Table4[[#This Row],[Salary]]&lt;50000, "0-50K",Table4[[#This Row],[Salary]]&lt;100000, "50K-1L",Table4[[#This Row],[Salary]]&lt;150000, "1L-1.5L",Table4[[#This Row],[Salary]]&lt;200000, "1.5-2L",Table4[[#This Row],[Salary]]&gt;=200000, "2L+")</f>
        <v>1.5-2L</v>
      </c>
    </row>
    <row r="134" spans="1:11" x14ac:dyDescent="0.3">
      <c r="A134">
        <v>132</v>
      </c>
      <c r="B134">
        <v>2478</v>
      </c>
      <c r="C134">
        <v>40</v>
      </c>
      <c r="D134" s="5" t="str" cm="1">
        <f t="array" ref="D134">_xlfn.IFS(C134&lt;30, "20-29",C134&lt;40, "30-39",C134&lt;50, "40-49",C134&lt;60, "50-59",Table4[[#This Row],[Age]]&gt;=60, "60+"  )</f>
        <v>40-49</v>
      </c>
      <c r="E134" t="s">
        <v>10</v>
      </c>
      <c r="F134" t="b">
        <v>0</v>
      </c>
      <c r="G134" s="1">
        <v>40333</v>
      </c>
      <c r="H134">
        <v>23</v>
      </c>
      <c r="I134" s="5" t="str" cm="1">
        <f t="array" ref="I134">_xlfn.IFS(Table4[[#This Row],[Experience]]&lt;15, "7-15 YEARS",Table4[[#This Row],[Experience]]&lt;23, "15-23  YEARS",Table4[[#This Row],[Experience]]&lt;30, "23-30 YEARS",Table4[[#This Row],[Experience]]&gt;=30, "30+ YEARS")</f>
        <v>23-30 YEARS</v>
      </c>
      <c r="J134">
        <v>185268</v>
      </c>
      <c r="K134" s="5" t="str" cm="1">
        <f t="array" ref="K134">_xlfn.IFS(Table4[[#This Row],[Salary]]&lt;50000, "0-50K",Table4[[#This Row],[Salary]]&lt;100000, "50K-1L",Table4[[#This Row],[Salary]]&lt;150000, "1L-1.5L",Table4[[#This Row],[Salary]]&lt;200000, "1.5-2L",Table4[[#This Row],[Salary]]&gt;=200000, "2L+")</f>
        <v>1.5-2L</v>
      </c>
    </row>
    <row r="135" spans="1:11" x14ac:dyDescent="0.3">
      <c r="A135">
        <v>133</v>
      </c>
      <c r="B135">
        <v>4357</v>
      </c>
      <c r="C135">
        <v>41</v>
      </c>
      <c r="D135" s="5" t="str" cm="1">
        <f t="array" ref="D135">_xlfn.IFS(C135&lt;30, "20-29",C135&lt;40, "30-39",C135&lt;50, "40-49",C135&lt;60, "50-59",Table4[[#This Row],[Age]]&gt;=60, "60+"  )</f>
        <v>40-49</v>
      </c>
      <c r="E135" t="s">
        <v>8</v>
      </c>
      <c r="F135" t="b">
        <v>0</v>
      </c>
      <c r="G135" s="1">
        <v>42834</v>
      </c>
      <c r="H135">
        <v>20</v>
      </c>
      <c r="I135" s="5" t="str" cm="1">
        <f t="array" ref="I135">_xlfn.IFS(Table4[[#This Row],[Experience]]&lt;15, "7-15 YEARS",Table4[[#This Row],[Experience]]&lt;23, "15-23  YEARS",Table4[[#This Row],[Experience]]&lt;30, "23-30 YEARS",Table4[[#This Row],[Experience]]&gt;=30, "30+ YEARS")</f>
        <v>15-23  YEARS</v>
      </c>
      <c r="J135">
        <v>166636</v>
      </c>
      <c r="K135" s="5" t="str" cm="1">
        <f t="array" ref="K135">_xlfn.IFS(Table4[[#This Row],[Salary]]&lt;50000, "0-50K",Table4[[#This Row],[Salary]]&lt;100000, "50K-1L",Table4[[#This Row],[Salary]]&lt;150000, "1L-1.5L",Table4[[#This Row],[Salary]]&lt;200000, "1.5-2L",Table4[[#This Row],[Salary]]&gt;=200000, "2L+")</f>
        <v>1.5-2L</v>
      </c>
    </row>
    <row r="136" spans="1:11" x14ac:dyDescent="0.3">
      <c r="A136">
        <v>134</v>
      </c>
      <c r="B136">
        <v>1802</v>
      </c>
      <c r="C136">
        <v>22</v>
      </c>
      <c r="D136" s="5" t="str" cm="1">
        <f t="array" ref="D136">_xlfn.IFS(C136&lt;30, "20-29",C136&lt;40, "30-39",C136&lt;50, "40-49",C136&lt;60, "50-59",Table4[[#This Row],[Age]]&gt;=60, "60+"  )</f>
        <v>20-29</v>
      </c>
      <c r="E136" t="s">
        <v>8</v>
      </c>
      <c r="F136" t="b">
        <v>0</v>
      </c>
      <c r="G136" s="1">
        <v>32638</v>
      </c>
      <c r="H136">
        <v>12</v>
      </c>
      <c r="I136" s="5" t="str" cm="1">
        <f t="array" ref="I136">_xlfn.IFS(Table4[[#This Row],[Experience]]&lt;15, "7-15 YEARS",Table4[[#This Row],[Experience]]&lt;23, "15-23  YEARS",Table4[[#This Row],[Experience]]&lt;30, "23-30 YEARS",Table4[[#This Row],[Experience]]&gt;=30, "30+ YEARS")</f>
        <v>7-15 YEARS</v>
      </c>
      <c r="J136">
        <v>94300</v>
      </c>
      <c r="K136" s="5" t="str" cm="1">
        <f t="array" ref="K136">_xlfn.IFS(Table4[[#This Row],[Salary]]&lt;50000, "0-50K",Table4[[#This Row],[Salary]]&lt;100000, "50K-1L",Table4[[#This Row],[Salary]]&lt;150000, "1L-1.5L",Table4[[#This Row],[Salary]]&lt;200000, "1.5-2L",Table4[[#This Row],[Salary]]&gt;=200000, "2L+")</f>
        <v>50K-1L</v>
      </c>
    </row>
    <row r="137" spans="1:11" x14ac:dyDescent="0.3">
      <c r="A137">
        <v>135</v>
      </c>
      <c r="B137">
        <v>4666</v>
      </c>
      <c r="C137">
        <v>49</v>
      </c>
      <c r="D137" s="5" t="str" cm="1">
        <f t="array" ref="D137">_xlfn.IFS(C137&lt;30, "20-29",C137&lt;40, "30-39",C137&lt;50, "40-49",C137&lt;60, "50-59",Table4[[#This Row],[Age]]&gt;=60, "60+"  )</f>
        <v>40-49</v>
      </c>
      <c r="E137" t="s">
        <v>10</v>
      </c>
      <c r="F137" t="b">
        <v>1</v>
      </c>
      <c r="G137" s="1">
        <v>41858</v>
      </c>
      <c r="H137">
        <v>25</v>
      </c>
      <c r="I137" s="5" t="str" cm="1">
        <f t="array" ref="I137">_xlfn.IFS(Table4[[#This Row],[Experience]]&lt;15, "7-15 YEARS",Table4[[#This Row],[Experience]]&lt;23, "15-23  YEARS",Table4[[#This Row],[Experience]]&lt;30, "23-30 YEARS",Table4[[#This Row],[Experience]]&gt;=30, "30+ YEARS")</f>
        <v>23-30 YEARS</v>
      </c>
      <c r="J137">
        <v>198827</v>
      </c>
      <c r="K137" s="5" t="str" cm="1">
        <f t="array" ref="K137">_xlfn.IFS(Table4[[#This Row],[Salary]]&lt;50000, "0-50K",Table4[[#This Row],[Salary]]&lt;100000, "50K-1L",Table4[[#This Row],[Salary]]&lt;150000, "1L-1.5L",Table4[[#This Row],[Salary]]&lt;200000, "1.5-2L",Table4[[#This Row],[Salary]]&gt;=200000, "2L+")</f>
        <v>1.5-2L</v>
      </c>
    </row>
    <row r="138" spans="1:11" x14ac:dyDescent="0.3">
      <c r="A138">
        <v>136</v>
      </c>
      <c r="B138">
        <v>7327</v>
      </c>
      <c r="C138">
        <v>44</v>
      </c>
      <c r="D138" s="5" t="str" cm="1">
        <f t="array" ref="D138">_xlfn.IFS(C138&lt;30, "20-29",C138&lt;40, "30-39",C138&lt;50, "40-49",C138&lt;60, "50-59",Table4[[#This Row],[Age]]&gt;=60, "60+"  )</f>
        <v>40-49</v>
      </c>
      <c r="E138" t="s">
        <v>8</v>
      </c>
      <c r="F138" t="b">
        <v>1</v>
      </c>
      <c r="G138" s="1">
        <v>30401</v>
      </c>
      <c r="H138">
        <v>25</v>
      </c>
      <c r="I138" s="5" t="str" cm="1">
        <f t="array" ref="I138">_xlfn.IFS(Table4[[#This Row],[Experience]]&lt;15, "7-15 YEARS",Table4[[#This Row],[Experience]]&lt;23, "15-23  YEARS",Table4[[#This Row],[Experience]]&lt;30, "23-30 YEARS",Table4[[#This Row],[Experience]]&gt;=30, "30+ YEARS")</f>
        <v>23-30 YEARS</v>
      </c>
      <c r="J138">
        <v>190600</v>
      </c>
      <c r="K138" s="5" t="str" cm="1">
        <f t="array" ref="K138">_xlfn.IFS(Table4[[#This Row],[Salary]]&lt;50000, "0-50K",Table4[[#This Row],[Salary]]&lt;100000, "50K-1L",Table4[[#This Row],[Salary]]&lt;150000, "1L-1.5L",Table4[[#This Row],[Salary]]&lt;200000, "1.5-2L",Table4[[#This Row],[Salary]]&gt;=200000, "2L+")</f>
        <v>1.5-2L</v>
      </c>
    </row>
    <row r="139" spans="1:11" x14ac:dyDescent="0.3">
      <c r="A139">
        <v>137</v>
      </c>
      <c r="B139">
        <v>5722</v>
      </c>
      <c r="C139">
        <v>43</v>
      </c>
      <c r="D139" s="5" t="str" cm="1">
        <f t="array" ref="D139">_xlfn.IFS(C139&lt;30, "20-29",C139&lt;40, "30-39",C139&lt;50, "40-49",C139&lt;60, "50-59",Table4[[#This Row],[Age]]&gt;=60, "60+"  )</f>
        <v>40-49</v>
      </c>
      <c r="E139" t="s">
        <v>11</v>
      </c>
      <c r="F139" t="b">
        <v>1</v>
      </c>
      <c r="G139" s="1">
        <v>30553</v>
      </c>
      <c r="H139">
        <v>24</v>
      </c>
      <c r="I139" s="5" t="str" cm="1">
        <f t="array" ref="I139">_xlfn.IFS(Table4[[#This Row],[Experience]]&lt;15, "7-15 YEARS",Table4[[#This Row],[Experience]]&lt;23, "15-23  YEARS",Table4[[#This Row],[Experience]]&lt;30, "23-30 YEARS",Table4[[#This Row],[Experience]]&gt;=30, "30+ YEARS")</f>
        <v>23-30 YEARS</v>
      </c>
      <c r="J139">
        <v>187430</v>
      </c>
      <c r="K139" s="5" t="str" cm="1">
        <f t="array" ref="K139">_xlfn.IFS(Table4[[#This Row],[Salary]]&lt;50000, "0-50K",Table4[[#This Row],[Salary]]&lt;100000, "50K-1L",Table4[[#This Row],[Salary]]&lt;150000, "1L-1.5L",Table4[[#This Row],[Salary]]&lt;200000, "1.5-2L",Table4[[#This Row],[Salary]]&gt;=200000, "2L+")</f>
        <v>1.5-2L</v>
      </c>
    </row>
    <row r="140" spans="1:11" x14ac:dyDescent="0.3">
      <c r="A140">
        <v>138</v>
      </c>
      <c r="B140">
        <v>8172</v>
      </c>
      <c r="C140">
        <v>45</v>
      </c>
      <c r="D140" s="5" t="str" cm="1">
        <f t="array" ref="D140">_xlfn.IFS(C140&lt;30, "20-29",C140&lt;40, "30-39",C140&lt;50, "40-49",C140&lt;60, "50-59",Table4[[#This Row],[Age]]&gt;=60, "60+"  )</f>
        <v>40-49</v>
      </c>
      <c r="E140" t="s">
        <v>8</v>
      </c>
      <c r="F140" t="b">
        <v>0</v>
      </c>
      <c r="G140" s="1">
        <v>41746</v>
      </c>
      <c r="H140">
        <v>21</v>
      </c>
      <c r="I140" s="5" t="str" cm="1">
        <f t="array" ref="I140">_xlfn.IFS(Table4[[#This Row],[Experience]]&lt;15, "7-15 YEARS",Table4[[#This Row],[Experience]]&lt;23, "15-23  YEARS",Table4[[#This Row],[Experience]]&lt;30, "23-30 YEARS",Table4[[#This Row],[Experience]]&gt;=30, "30+ YEARS")</f>
        <v>15-23  YEARS</v>
      </c>
      <c r="J140">
        <v>166573</v>
      </c>
      <c r="K140" s="5" t="str" cm="1">
        <f t="array" ref="K140">_xlfn.IFS(Table4[[#This Row],[Salary]]&lt;50000, "0-50K",Table4[[#This Row],[Salary]]&lt;100000, "50K-1L",Table4[[#This Row],[Salary]]&lt;150000, "1L-1.5L",Table4[[#This Row],[Salary]]&lt;200000, "1.5-2L",Table4[[#This Row],[Salary]]&gt;=200000, "2L+")</f>
        <v>1.5-2L</v>
      </c>
    </row>
    <row r="141" spans="1:11" x14ac:dyDescent="0.3">
      <c r="A141">
        <v>139</v>
      </c>
      <c r="B141">
        <v>2391</v>
      </c>
      <c r="C141">
        <v>49</v>
      </c>
      <c r="D141" s="5" t="str" cm="1">
        <f t="array" ref="D141">_xlfn.IFS(C141&lt;30, "20-29",C141&lt;40, "30-39",C141&lt;50, "40-49",C141&lt;60, "50-59",Table4[[#This Row],[Age]]&gt;=60, "60+"  )</f>
        <v>40-49</v>
      </c>
      <c r="E141" t="s">
        <v>11</v>
      </c>
      <c r="F141" t="b">
        <v>1</v>
      </c>
      <c r="G141" s="1">
        <v>33181</v>
      </c>
      <c r="H141">
        <v>22</v>
      </c>
      <c r="I141" s="5" t="str" cm="1">
        <f t="array" ref="I141">_xlfn.IFS(Table4[[#This Row],[Experience]]&lt;15, "7-15 YEARS",Table4[[#This Row],[Experience]]&lt;23, "15-23  YEARS",Table4[[#This Row],[Experience]]&lt;30, "23-30 YEARS",Table4[[#This Row],[Experience]]&gt;=30, "30+ YEARS")</f>
        <v>15-23  YEARS</v>
      </c>
      <c r="J141">
        <v>176961</v>
      </c>
      <c r="K141" s="5" t="str" cm="1">
        <f t="array" ref="K141">_xlfn.IFS(Table4[[#This Row],[Salary]]&lt;50000, "0-50K",Table4[[#This Row],[Salary]]&lt;100000, "50K-1L",Table4[[#This Row],[Salary]]&lt;150000, "1L-1.5L",Table4[[#This Row],[Salary]]&lt;200000, "1.5-2L",Table4[[#This Row],[Salary]]&gt;=200000, "2L+")</f>
        <v>1.5-2L</v>
      </c>
    </row>
    <row r="142" spans="1:11" x14ac:dyDescent="0.3">
      <c r="A142">
        <v>140</v>
      </c>
      <c r="B142">
        <v>3536</v>
      </c>
      <c r="C142">
        <v>54</v>
      </c>
      <c r="D142" s="5" t="str" cm="1">
        <f t="array" ref="D142">_xlfn.IFS(C142&lt;30, "20-29",C142&lt;40, "30-39",C142&lt;50, "40-49",C142&lt;60, "50-59",Table4[[#This Row],[Age]]&gt;=60, "60+"  )</f>
        <v>50-59</v>
      </c>
      <c r="E142" t="s">
        <v>12</v>
      </c>
      <c r="F142" t="b">
        <v>1</v>
      </c>
      <c r="G142" s="1">
        <v>39501</v>
      </c>
      <c r="H142">
        <v>25</v>
      </c>
      <c r="I142" s="5" t="str" cm="1">
        <f t="array" ref="I142">_xlfn.IFS(Table4[[#This Row],[Experience]]&lt;15, "7-15 YEARS",Table4[[#This Row],[Experience]]&lt;23, "15-23  YEARS",Table4[[#This Row],[Experience]]&lt;30, "23-30 YEARS",Table4[[#This Row],[Experience]]&gt;=30, "30+ YEARS")</f>
        <v>23-30 YEARS</v>
      </c>
      <c r="J142">
        <v>206014</v>
      </c>
      <c r="K142" s="5" t="str" cm="1">
        <f t="array" ref="K142">_xlfn.IFS(Table4[[#This Row],[Salary]]&lt;50000, "0-50K",Table4[[#This Row],[Salary]]&lt;100000, "50K-1L",Table4[[#This Row],[Salary]]&lt;150000, "1L-1.5L",Table4[[#This Row],[Salary]]&lt;200000, "1.5-2L",Table4[[#This Row],[Salary]]&gt;=200000, "2L+")</f>
        <v>2L+</v>
      </c>
    </row>
    <row r="143" spans="1:11" x14ac:dyDescent="0.3">
      <c r="A143">
        <v>141</v>
      </c>
      <c r="B143">
        <v>7770</v>
      </c>
      <c r="C143">
        <v>43</v>
      </c>
      <c r="D143" s="5" t="str" cm="1">
        <f t="array" ref="D143">_xlfn.IFS(C143&lt;30, "20-29",C143&lt;40, "30-39",C143&lt;50, "40-49",C143&lt;60, "50-59",Table4[[#This Row],[Age]]&gt;=60, "60+"  )</f>
        <v>40-49</v>
      </c>
      <c r="E143" t="s">
        <v>9</v>
      </c>
      <c r="F143" t="b">
        <v>1</v>
      </c>
      <c r="G143" s="1">
        <v>27694</v>
      </c>
      <c r="H143">
        <v>21</v>
      </c>
      <c r="I143" s="5" t="str" cm="1">
        <f t="array" ref="I143">_xlfn.IFS(Table4[[#This Row],[Experience]]&lt;15, "7-15 YEARS",Table4[[#This Row],[Experience]]&lt;23, "15-23  YEARS",Table4[[#This Row],[Experience]]&lt;30, "23-30 YEARS",Table4[[#This Row],[Experience]]&gt;=30, "30+ YEARS")</f>
        <v>15-23  YEARS</v>
      </c>
      <c r="J143">
        <v>167653</v>
      </c>
      <c r="K143" s="5" t="str" cm="1">
        <f t="array" ref="K143">_xlfn.IFS(Table4[[#This Row],[Salary]]&lt;50000, "0-50K",Table4[[#This Row],[Salary]]&lt;100000, "50K-1L",Table4[[#This Row],[Salary]]&lt;150000, "1L-1.5L",Table4[[#This Row],[Salary]]&lt;200000, "1.5-2L",Table4[[#This Row],[Salary]]&gt;=200000, "2L+")</f>
        <v>1.5-2L</v>
      </c>
    </row>
    <row r="144" spans="1:11" x14ac:dyDescent="0.3">
      <c r="A144">
        <v>142</v>
      </c>
      <c r="B144">
        <v>1571</v>
      </c>
      <c r="C144">
        <v>34</v>
      </c>
      <c r="D144" s="5" t="str" cm="1">
        <f t="array" ref="D144">_xlfn.IFS(C144&lt;30, "20-29",C144&lt;40, "30-39",C144&lt;50, "40-49",C144&lt;60, "50-59",Table4[[#This Row],[Age]]&gt;=60, "60+"  )</f>
        <v>30-39</v>
      </c>
      <c r="E144" t="s">
        <v>12</v>
      </c>
      <c r="F144" t="b">
        <v>0</v>
      </c>
      <c r="G144" s="1">
        <v>37686</v>
      </c>
      <c r="H144">
        <v>17</v>
      </c>
      <c r="I144" s="5" t="str" cm="1">
        <f t="array" ref="I144">_xlfn.IFS(Table4[[#This Row],[Experience]]&lt;15, "7-15 YEARS",Table4[[#This Row],[Experience]]&lt;23, "15-23  YEARS",Table4[[#This Row],[Experience]]&lt;30, "23-30 YEARS",Table4[[#This Row],[Experience]]&gt;=30, "30+ YEARS")</f>
        <v>15-23  YEARS</v>
      </c>
      <c r="J144">
        <v>138491</v>
      </c>
      <c r="K144" s="5" t="str" cm="1">
        <f t="array" ref="K144">_xlfn.IFS(Table4[[#This Row],[Salary]]&lt;50000, "0-50K",Table4[[#This Row],[Salary]]&lt;100000, "50K-1L",Table4[[#This Row],[Salary]]&lt;150000, "1L-1.5L",Table4[[#This Row],[Salary]]&lt;200000, "1.5-2L",Table4[[#This Row],[Salary]]&gt;=200000, "2L+")</f>
        <v>1L-1.5L</v>
      </c>
    </row>
    <row r="145" spans="1:11" x14ac:dyDescent="0.3">
      <c r="A145">
        <v>143</v>
      </c>
      <c r="B145">
        <v>2558</v>
      </c>
      <c r="C145">
        <v>29</v>
      </c>
      <c r="D145" s="5" t="str" cm="1">
        <f t="array" ref="D145">_xlfn.IFS(C145&lt;30, "20-29",C145&lt;40, "30-39",C145&lt;50, "40-49",C145&lt;60, "50-59",Table4[[#This Row],[Age]]&gt;=60, "60+"  )</f>
        <v>20-29</v>
      </c>
      <c r="E145" t="s">
        <v>10</v>
      </c>
      <c r="F145" t="b">
        <v>1</v>
      </c>
      <c r="G145" s="1">
        <v>27772</v>
      </c>
      <c r="H145">
        <v>14</v>
      </c>
      <c r="I145" s="5" t="str" cm="1">
        <f t="array" ref="I145">_xlfn.IFS(Table4[[#This Row],[Experience]]&lt;15, "7-15 YEARS",Table4[[#This Row],[Experience]]&lt;23, "15-23  YEARS",Table4[[#This Row],[Experience]]&lt;30, "23-30 YEARS",Table4[[#This Row],[Experience]]&gt;=30, "30+ YEARS")</f>
        <v>7-15 YEARS</v>
      </c>
      <c r="J145">
        <v>113663</v>
      </c>
      <c r="K145" s="5" t="str" cm="1">
        <f t="array" ref="K145">_xlfn.IFS(Table4[[#This Row],[Salary]]&lt;50000, "0-50K",Table4[[#This Row],[Salary]]&lt;100000, "50K-1L",Table4[[#This Row],[Salary]]&lt;150000, "1L-1.5L",Table4[[#This Row],[Salary]]&lt;200000, "1.5-2L",Table4[[#This Row],[Salary]]&gt;=200000, "2L+")</f>
        <v>1L-1.5L</v>
      </c>
    </row>
    <row r="146" spans="1:11" x14ac:dyDescent="0.3">
      <c r="A146">
        <v>144</v>
      </c>
      <c r="B146">
        <v>1197</v>
      </c>
      <c r="C146">
        <v>57</v>
      </c>
      <c r="D146" s="5" t="str" cm="1">
        <f t="array" ref="D146">_xlfn.IFS(C146&lt;30, "20-29",C146&lt;40, "30-39",C146&lt;50, "40-49",C146&lt;60, "50-59",Table4[[#This Row],[Age]]&gt;=60, "60+"  )</f>
        <v>50-59</v>
      </c>
      <c r="E146" t="s">
        <v>9</v>
      </c>
      <c r="F146" t="b">
        <v>1</v>
      </c>
      <c r="G146" s="1">
        <v>38839</v>
      </c>
      <c r="H146">
        <v>25</v>
      </c>
      <c r="I146" s="5" t="str" cm="1">
        <f t="array" ref="I146">_xlfn.IFS(Table4[[#This Row],[Experience]]&lt;15, "7-15 YEARS",Table4[[#This Row],[Experience]]&lt;23, "15-23  YEARS",Table4[[#This Row],[Experience]]&lt;30, "23-30 YEARS",Table4[[#This Row],[Experience]]&gt;=30, "30+ YEARS")</f>
        <v>23-30 YEARS</v>
      </c>
      <c r="J146">
        <v>195286</v>
      </c>
      <c r="K146" s="5" t="str" cm="1">
        <f t="array" ref="K146">_xlfn.IFS(Table4[[#This Row],[Salary]]&lt;50000, "0-50K",Table4[[#This Row],[Salary]]&lt;100000, "50K-1L",Table4[[#This Row],[Salary]]&lt;150000, "1L-1.5L",Table4[[#This Row],[Salary]]&lt;200000, "1.5-2L",Table4[[#This Row],[Salary]]&gt;=200000, "2L+")</f>
        <v>1.5-2L</v>
      </c>
    </row>
    <row r="147" spans="1:11" x14ac:dyDescent="0.3">
      <c r="A147">
        <v>145</v>
      </c>
      <c r="B147">
        <v>4842</v>
      </c>
      <c r="C147">
        <v>55</v>
      </c>
      <c r="D147" s="5" t="str" cm="1">
        <f t="array" ref="D147">_xlfn.IFS(C147&lt;30, "20-29",C147&lt;40, "30-39",C147&lt;50, "40-49",C147&lt;60, "50-59",Table4[[#This Row],[Age]]&gt;=60, "60+"  )</f>
        <v>50-59</v>
      </c>
      <c r="E147" t="s">
        <v>9</v>
      </c>
      <c r="F147" t="b">
        <v>1</v>
      </c>
      <c r="G147" s="1">
        <v>35883</v>
      </c>
      <c r="H147">
        <v>27</v>
      </c>
      <c r="I147" s="5" t="str" cm="1">
        <f t="array" ref="I147">_xlfn.IFS(Table4[[#This Row],[Experience]]&lt;15, "7-15 YEARS",Table4[[#This Row],[Experience]]&lt;23, "15-23  YEARS",Table4[[#This Row],[Experience]]&lt;30, "23-30 YEARS",Table4[[#This Row],[Experience]]&gt;=30, "30+ YEARS")</f>
        <v>23-30 YEARS</v>
      </c>
      <c r="J147">
        <v>215637</v>
      </c>
      <c r="K147" s="5" t="str" cm="1">
        <f t="array" ref="K147">_xlfn.IFS(Table4[[#This Row],[Salary]]&lt;50000, "0-50K",Table4[[#This Row],[Salary]]&lt;100000, "50K-1L",Table4[[#This Row],[Salary]]&lt;150000, "1L-1.5L",Table4[[#This Row],[Salary]]&lt;200000, "1.5-2L",Table4[[#This Row],[Salary]]&gt;=200000, "2L+")</f>
        <v>2L+</v>
      </c>
    </row>
    <row r="148" spans="1:11" x14ac:dyDescent="0.3">
      <c r="A148">
        <v>146</v>
      </c>
      <c r="B148">
        <v>1809</v>
      </c>
      <c r="C148">
        <v>43</v>
      </c>
      <c r="D148" s="5" t="str" cm="1">
        <f t="array" ref="D148">_xlfn.IFS(C148&lt;30, "20-29",C148&lt;40, "30-39",C148&lt;50, "40-49",C148&lt;60, "50-59",Table4[[#This Row],[Age]]&gt;=60, "60+"  )</f>
        <v>40-49</v>
      </c>
      <c r="E148" t="s">
        <v>8</v>
      </c>
      <c r="F148" t="b">
        <v>1</v>
      </c>
      <c r="G148" s="1">
        <v>37078</v>
      </c>
      <c r="H148">
        <v>21</v>
      </c>
      <c r="I148" s="5" t="str" cm="1">
        <f t="array" ref="I148">_xlfn.IFS(Table4[[#This Row],[Experience]]&lt;15, "7-15 YEARS",Table4[[#This Row],[Experience]]&lt;23, "15-23  YEARS",Table4[[#This Row],[Experience]]&lt;30, "23-30 YEARS",Table4[[#This Row],[Experience]]&gt;=30, "30+ YEARS")</f>
        <v>15-23  YEARS</v>
      </c>
      <c r="J148">
        <v>170164</v>
      </c>
      <c r="K148" s="5" t="str" cm="1">
        <f t="array" ref="K148">_xlfn.IFS(Table4[[#This Row],[Salary]]&lt;50000, "0-50K",Table4[[#This Row],[Salary]]&lt;100000, "50K-1L",Table4[[#This Row],[Salary]]&lt;150000, "1L-1.5L",Table4[[#This Row],[Salary]]&lt;200000, "1.5-2L",Table4[[#This Row],[Salary]]&gt;=200000, "2L+")</f>
        <v>1.5-2L</v>
      </c>
    </row>
    <row r="149" spans="1:11" x14ac:dyDescent="0.3">
      <c r="A149">
        <v>147</v>
      </c>
      <c r="B149">
        <v>2304</v>
      </c>
      <c r="C149">
        <v>57</v>
      </c>
      <c r="D149" s="5" t="str" cm="1">
        <f t="array" ref="D149">_xlfn.IFS(C149&lt;30, "20-29",C149&lt;40, "30-39",C149&lt;50, "40-49",C149&lt;60, "50-59",Table4[[#This Row],[Age]]&gt;=60, "60+"  )</f>
        <v>50-59</v>
      </c>
      <c r="E149" t="s">
        <v>10</v>
      </c>
      <c r="F149" t="b">
        <v>0</v>
      </c>
      <c r="G149" s="1">
        <v>33494</v>
      </c>
      <c r="H149">
        <v>30</v>
      </c>
      <c r="I149" s="5" t="str" cm="1">
        <f t="array" ref="I149">_xlfn.IFS(Table4[[#This Row],[Experience]]&lt;15, "7-15 YEARS",Table4[[#This Row],[Experience]]&lt;23, "15-23  YEARS",Table4[[#This Row],[Experience]]&lt;30, "23-30 YEARS",Table4[[#This Row],[Experience]]&gt;=30, "30+ YEARS")</f>
        <v>30+ YEARS</v>
      </c>
      <c r="J149">
        <v>240851</v>
      </c>
      <c r="K149" s="5" t="str" cm="1">
        <f t="array" ref="K149">_xlfn.IFS(Table4[[#This Row],[Salary]]&lt;50000, "0-50K",Table4[[#This Row],[Salary]]&lt;100000, "50K-1L",Table4[[#This Row],[Salary]]&lt;150000, "1L-1.5L",Table4[[#This Row],[Salary]]&lt;200000, "1.5-2L",Table4[[#This Row],[Salary]]&gt;=200000, "2L+")</f>
        <v>2L+</v>
      </c>
    </row>
    <row r="150" spans="1:11" x14ac:dyDescent="0.3">
      <c r="A150">
        <v>148</v>
      </c>
      <c r="B150">
        <v>2759</v>
      </c>
      <c r="C150">
        <v>24</v>
      </c>
      <c r="D150" s="5" t="str" cm="1">
        <f t="array" ref="D150">_xlfn.IFS(C150&lt;30, "20-29",C150&lt;40, "30-39",C150&lt;50, "40-49",C150&lt;60, "50-59",Table4[[#This Row],[Age]]&gt;=60, "60+"  )</f>
        <v>20-29</v>
      </c>
      <c r="E150" t="s">
        <v>12</v>
      </c>
      <c r="F150" t="b">
        <v>0</v>
      </c>
      <c r="G150" s="1">
        <v>43082</v>
      </c>
      <c r="H150">
        <v>9</v>
      </c>
      <c r="I150" s="5" t="str" cm="1">
        <f t="array" ref="I150">_xlfn.IFS(Table4[[#This Row],[Experience]]&lt;15, "7-15 YEARS",Table4[[#This Row],[Experience]]&lt;23, "15-23  YEARS",Table4[[#This Row],[Experience]]&lt;30, "23-30 YEARS",Table4[[#This Row],[Experience]]&gt;=30, "30+ YEARS")</f>
        <v>7-15 YEARS</v>
      </c>
      <c r="J150">
        <v>78650</v>
      </c>
      <c r="K150" s="5" t="str" cm="1">
        <f t="array" ref="K150">_xlfn.IFS(Table4[[#This Row],[Salary]]&lt;50000, "0-50K",Table4[[#This Row],[Salary]]&lt;100000, "50K-1L",Table4[[#This Row],[Salary]]&lt;150000, "1L-1.5L",Table4[[#This Row],[Salary]]&lt;200000, "1.5-2L",Table4[[#This Row],[Salary]]&gt;=200000, "2L+")</f>
        <v>50K-1L</v>
      </c>
    </row>
    <row r="151" spans="1:11" x14ac:dyDescent="0.3">
      <c r="A151">
        <v>149</v>
      </c>
      <c r="B151">
        <v>8278</v>
      </c>
      <c r="C151">
        <v>25</v>
      </c>
      <c r="D151" s="5" t="str" cm="1">
        <f t="array" ref="D151">_xlfn.IFS(C151&lt;30, "20-29",C151&lt;40, "30-39",C151&lt;50, "40-49",C151&lt;60, "50-59",Table4[[#This Row],[Age]]&gt;=60, "60+"  )</f>
        <v>20-29</v>
      </c>
      <c r="E151" t="s">
        <v>9</v>
      </c>
      <c r="F151" t="b">
        <v>1</v>
      </c>
      <c r="G151" s="1">
        <v>30936</v>
      </c>
      <c r="H151">
        <v>13</v>
      </c>
      <c r="I151" s="5" t="str" cm="1">
        <f t="array" ref="I151">_xlfn.IFS(Table4[[#This Row],[Experience]]&lt;15, "7-15 YEARS",Table4[[#This Row],[Experience]]&lt;23, "15-23  YEARS",Table4[[#This Row],[Experience]]&lt;30, "23-30 YEARS",Table4[[#This Row],[Experience]]&gt;=30, "30+ YEARS")</f>
        <v>7-15 YEARS</v>
      </c>
      <c r="J151">
        <v>101767</v>
      </c>
      <c r="K151" s="5" t="str" cm="1">
        <f t="array" ref="K151">_xlfn.IFS(Table4[[#This Row],[Salary]]&lt;50000, "0-50K",Table4[[#This Row],[Salary]]&lt;100000, "50K-1L",Table4[[#This Row],[Salary]]&lt;150000, "1L-1.5L",Table4[[#This Row],[Salary]]&lt;200000, "1.5-2L",Table4[[#This Row],[Salary]]&gt;=200000, "2L+")</f>
        <v>1L-1.5L</v>
      </c>
    </row>
    <row r="152" spans="1:11" x14ac:dyDescent="0.3">
      <c r="A152">
        <v>150</v>
      </c>
      <c r="B152">
        <v>3797</v>
      </c>
      <c r="C152">
        <v>57</v>
      </c>
      <c r="D152" s="5" t="str" cm="1">
        <f t="array" ref="D152">_xlfn.IFS(C152&lt;30, "20-29",C152&lt;40, "30-39",C152&lt;50, "40-49",C152&lt;60, "50-59",Table4[[#This Row],[Age]]&gt;=60, "60+"  )</f>
        <v>50-59</v>
      </c>
      <c r="E152" t="s">
        <v>10</v>
      </c>
      <c r="F152" t="b">
        <v>0</v>
      </c>
      <c r="G152" s="1">
        <v>36603</v>
      </c>
      <c r="H152">
        <v>30</v>
      </c>
      <c r="I152" s="5" t="str" cm="1">
        <f t="array" ref="I152">_xlfn.IFS(Table4[[#This Row],[Experience]]&lt;15, "7-15 YEARS",Table4[[#This Row],[Experience]]&lt;23, "15-23  YEARS",Table4[[#This Row],[Experience]]&lt;30, "23-30 YEARS",Table4[[#This Row],[Experience]]&gt;=30, "30+ YEARS")</f>
        <v>30+ YEARS</v>
      </c>
      <c r="J152">
        <v>237787</v>
      </c>
      <c r="K152" s="5" t="str" cm="1">
        <f t="array" ref="K152">_xlfn.IFS(Table4[[#This Row],[Salary]]&lt;50000, "0-50K",Table4[[#This Row],[Salary]]&lt;100000, "50K-1L",Table4[[#This Row],[Salary]]&lt;150000, "1L-1.5L",Table4[[#This Row],[Salary]]&lt;200000, "1.5-2L",Table4[[#This Row],[Salary]]&gt;=200000, "2L+")</f>
        <v>2L+</v>
      </c>
    </row>
    <row r="153" spans="1:11" x14ac:dyDescent="0.3">
      <c r="A153">
        <v>151</v>
      </c>
      <c r="B153">
        <v>1475</v>
      </c>
      <c r="C153">
        <v>33</v>
      </c>
      <c r="D153" s="5" t="str" cm="1">
        <f t="array" ref="D153">_xlfn.IFS(C153&lt;30, "20-29",C153&lt;40, "30-39",C153&lt;50, "40-49",C153&lt;60, "50-59",Table4[[#This Row],[Age]]&gt;=60, "60+"  )</f>
        <v>30-39</v>
      </c>
      <c r="E153" t="s">
        <v>10</v>
      </c>
      <c r="F153" t="b">
        <v>0</v>
      </c>
      <c r="G153" s="1">
        <v>28719</v>
      </c>
      <c r="H153">
        <v>15</v>
      </c>
      <c r="I153" s="5" t="str" cm="1">
        <f t="array" ref="I153">_xlfn.IFS(Table4[[#This Row],[Experience]]&lt;15, "7-15 YEARS",Table4[[#This Row],[Experience]]&lt;23, "15-23  YEARS",Table4[[#This Row],[Experience]]&lt;30, "23-30 YEARS",Table4[[#This Row],[Experience]]&gt;=30, "30+ YEARS")</f>
        <v>15-23  YEARS</v>
      </c>
      <c r="J153">
        <v>120289</v>
      </c>
      <c r="K153" s="5" t="str" cm="1">
        <f t="array" ref="K153">_xlfn.IFS(Table4[[#This Row],[Salary]]&lt;50000, "0-50K",Table4[[#This Row],[Salary]]&lt;100000, "50K-1L",Table4[[#This Row],[Salary]]&lt;150000, "1L-1.5L",Table4[[#This Row],[Salary]]&lt;200000, "1.5-2L",Table4[[#This Row],[Salary]]&gt;=200000, "2L+")</f>
        <v>1L-1.5L</v>
      </c>
    </row>
    <row r="154" spans="1:11" x14ac:dyDescent="0.3">
      <c r="A154">
        <v>152</v>
      </c>
      <c r="B154">
        <v>4165</v>
      </c>
      <c r="C154">
        <v>59</v>
      </c>
      <c r="D154" s="5" t="str" cm="1">
        <f t="array" ref="D154">_xlfn.IFS(C154&lt;30, "20-29",C154&lt;40, "30-39",C154&lt;50, "40-49",C154&lt;60, "50-59",Table4[[#This Row],[Age]]&gt;=60, "60+"  )</f>
        <v>50-59</v>
      </c>
      <c r="E154" t="s">
        <v>11</v>
      </c>
      <c r="F154" t="b">
        <v>1</v>
      </c>
      <c r="G154" s="1">
        <v>26069</v>
      </c>
      <c r="H154">
        <v>29</v>
      </c>
      <c r="I154" s="5" t="str" cm="1">
        <f t="array" ref="I154">_xlfn.IFS(Table4[[#This Row],[Experience]]&lt;15, "7-15 YEARS",Table4[[#This Row],[Experience]]&lt;23, "15-23  YEARS",Table4[[#This Row],[Experience]]&lt;30, "23-30 YEARS",Table4[[#This Row],[Experience]]&gt;=30, "30+ YEARS")</f>
        <v>23-30 YEARS</v>
      </c>
      <c r="J154">
        <v>229854</v>
      </c>
      <c r="K154" s="5" t="str" cm="1">
        <f t="array" ref="K154">_xlfn.IFS(Table4[[#This Row],[Salary]]&lt;50000, "0-50K",Table4[[#This Row],[Salary]]&lt;100000, "50K-1L",Table4[[#This Row],[Salary]]&lt;150000, "1L-1.5L",Table4[[#This Row],[Salary]]&lt;200000, "1.5-2L",Table4[[#This Row],[Salary]]&gt;=200000, "2L+")</f>
        <v>2L+</v>
      </c>
    </row>
    <row r="155" spans="1:11" x14ac:dyDescent="0.3">
      <c r="A155">
        <v>153</v>
      </c>
      <c r="B155">
        <v>3292</v>
      </c>
      <c r="C155">
        <v>33</v>
      </c>
      <c r="D155" s="5" t="str" cm="1">
        <f t="array" ref="D155">_xlfn.IFS(C155&lt;30, "20-29",C155&lt;40, "30-39",C155&lt;50, "40-49",C155&lt;60, "50-59",Table4[[#This Row],[Age]]&gt;=60, "60+"  )</f>
        <v>30-39</v>
      </c>
      <c r="E155" t="s">
        <v>12</v>
      </c>
      <c r="F155" t="b">
        <v>0</v>
      </c>
      <c r="G155" s="1">
        <v>42923</v>
      </c>
      <c r="H155">
        <v>16</v>
      </c>
      <c r="I155" s="5" t="str" cm="1">
        <f t="array" ref="I155">_xlfn.IFS(Table4[[#This Row],[Experience]]&lt;15, "7-15 YEARS",Table4[[#This Row],[Experience]]&lt;23, "15-23  YEARS",Table4[[#This Row],[Experience]]&lt;30, "23-30 YEARS",Table4[[#This Row],[Experience]]&gt;=30, "30+ YEARS")</f>
        <v>15-23  YEARS</v>
      </c>
      <c r="J155">
        <v>140462</v>
      </c>
      <c r="K155" s="5" t="str" cm="1">
        <f t="array" ref="K155">_xlfn.IFS(Table4[[#This Row],[Salary]]&lt;50000, "0-50K",Table4[[#This Row],[Salary]]&lt;100000, "50K-1L",Table4[[#This Row],[Salary]]&lt;150000, "1L-1.5L",Table4[[#This Row],[Salary]]&lt;200000, "1.5-2L",Table4[[#This Row],[Salary]]&gt;=200000, "2L+")</f>
        <v>1L-1.5L</v>
      </c>
    </row>
    <row r="156" spans="1:11" x14ac:dyDescent="0.3">
      <c r="A156">
        <v>154</v>
      </c>
      <c r="B156">
        <v>1740</v>
      </c>
      <c r="C156">
        <v>35</v>
      </c>
      <c r="D156" s="5" t="str" cm="1">
        <f t="array" ref="D156">_xlfn.IFS(C156&lt;30, "20-29",C156&lt;40, "30-39",C156&lt;50, "40-49",C156&lt;60, "50-59",Table4[[#This Row],[Age]]&gt;=60, "60+"  )</f>
        <v>30-39</v>
      </c>
      <c r="E156" t="s">
        <v>9</v>
      </c>
      <c r="F156" t="b">
        <v>1</v>
      </c>
      <c r="G156" s="1">
        <v>38381</v>
      </c>
      <c r="H156">
        <v>17</v>
      </c>
      <c r="I156" s="5" t="str" cm="1">
        <f t="array" ref="I156">_xlfn.IFS(Table4[[#This Row],[Experience]]&lt;15, "7-15 YEARS",Table4[[#This Row],[Experience]]&lt;23, "15-23  YEARS",Table4[[#This Row],[Experience]]&lt;30, "23-30 YEARS",Table4[[#This Row],[Experience]]&gt;=30, "30+ YEARS")</f>
        <v>15-23  YEARS</v>
      </c>
      <c r="J156">
        <v>137966</v>
      </c>
      <c r="K156" s="5" t="str" cm="1">
        <f t="array" ref="K156">_xlfn.IFS(Table4[[#This Row],[Salary]]&lt;50000, "0-50K",Table4[[#This Row],[Salary]]&lt;100000, "50K-1L",Table4[[#This Row],[Salary]]&lt;150000, "1L-1.5L",Table4[[#This Row],[Salary]]&lt;200000, "1.5-2L",Table4[[#This Row],[Salary]]&gt;=200000, "2L+")</f>
        <v>1L-1.5L</v>
      </c>
    </row>
    <row r="157" spans="1:11" x14ac:dyDescent="0.3">
      <c r="A157">
        <v>155</v>
      </c>
      <c r="B157">
        <v>5139</v>
      </c>
      <c r="C157">
        <v>48</v>
      </c>
      <c r="D157" s="5" t="str" cm="1">
        <f t="array" ref="D157">_xlfn.IFS(C157&lt;30, "20-29",C157&lt;40, "30-39",C157&lt;50, "40-49",C157&lt;60, "50-59",Table4[[#This Row],[Age]]&gt;=60, "60+"  )</f>
        <v>40-49</v>
      </c>
      <c r="E157" t="s">
        <v>11</v>
      </c>
      <c r="F157" t="b">
        <v>1</v>
      </c>
      <c r="G157" s="1">
        <v>30791</v>
      </c>
      <c r="H157">
        <v>26</v>
      </c>
      <c r="I157" s="5" t="str" cm="1">
        <f t="array" ref="I157">_xlfn.IFS(Table4[[#This Row],[Experience]]&lt;15, "7-15 YEARS",Table4[[#This Row],[Experience]]&lt;23, "15-23  YEARS",Table4[[#This Row],[Experience]]&lt;30, "23-30 YEARS",Table4[[#This Row],[Experience]]&gt;=30, "30+ YEARS")</f>
        <v>23-30 YEARS</v>
      </c>
      <c r="J157">
        <v>198685</v>
      </c>
      <c r="K157" s="5" t="str" cm="1">
        <f t="array" ref="K157">_xlfn.IFS(Table4[[#This Row],[Salary]]&lt;50000, "0-50K",Table4[[#This Row],[Salary]]&lt;100000, "50K-1L",Table4[[#This Row],[Salary]]&lt;150000, "1L-1.5L",Table4[[#This Row],[Salary]]&lt;200000, "1.5-2L",Table4[[#This Row],[Salary]]&gt;=200000, "2L+")</f>
        <v>1.5-2L</v>
      </c>
    </row>
    <row r="158" spans="1:11" x14ac:dyDescent="0.3">
      <c r="A158">
        <v>156</v>
      </c>
      <c r="B158">
        <v>4522</v>
      </c>
      <c r="C158">
        <v>31</v>
      </c>
      <c r="D158" s="5" t="str" cm="1">
        <f t="array" ref="D158">_xlfn.IFS(C158&lt;30, "20-29",C158&lt;40, "30-39",C158&lt;50, "40-49",C158&lt;60, "50-59",Table4[[#This Row],[Age]]&gt;=60, "60+"  )</f>
        <v>30-39</v>
      </c>
      <c r="E158" t="s">
        <v>10</v>
      </c>
      <c r="F158" t="b">
        <v>0</v>
      </c>
      <c r="G158" s="1">
        <v>35517</v>
      </c>
      <c r="H158">
        <v>13</v>
      </c>
      <c r="I158" s="5" t="str" cm="1">
        <f t="array" ref="I158">_xlfn.IFS(Table4[[#This Row],[Experience]]&lt;15, "7-15 YEARS",Table4[[#This Row],[Experience]]&lt;23, "15-23  YEARS",Table4[[#This Row],[Experience]]&lt;30, "23-30 YEARS",Table4[[#This Row],[Experience]]&gt;=30, "30+ YEARS")</f>
        <v>7-15 YEARS</v>
      </c>
      <c r="J158">
        <v>97639</v>
      </c>
      <c r="K158" s="5" t="str" cm="1">
        <f t="array" ref="K158">_xlfn.IFS(Table4[[#This Row],[Salary]]&lt;50000, "0-50K",Table4[[#This Row],[Salary]]&lt;100000, "50K-1L",Table4[[#This Row],[Salary]]&lt;150000, "1L-1.5L",Table4[[#This Row],[Salary]]&lt;200000, "1.5-2L",Table4[[#This Row],[Salary]]&gt;=200000, "2L+")</f>
        <v>50K-1L</v>
      </c>
    </row>
    <row r="159" spans="1:11" x14ac:dyDescent="0.3">
      <c r="A159">
        <v>157</v>
      </c>
      <c r="B159">
        <v>2227</v>
      </c>
      <c r="C159">
        <v>51</v>
      </c>
      <c r="D159" s="5" t="str" cm="1">
        <f t="array" ref="D159">_xlfn.IFS(C159&lt;30, "20-29",C159&lt;40, "30-39",C159&lt;50, "40-49",C159&lt;60, "50-59",Table4[[#This Row],[Age]]&gt;=60, "60+"  )</f>
        <v>50-59</v>
      </c>
      <c r="E159" t="s">
        <v>9</v>
      </c>
      <c r="F159" t="b">
        <v>1</v>
      </c>
      <c r="G159" s="1">
        <v>28392</v>
      </c>
      <c r="H159">
        <v>27</v>
      </c>
      <c r="I159" s="5" t="str" cm="1">
        <f t="array" ref="I159">_xlfn.IFS(Table4[[#This Row],[Experience]]&lt;15, "7-15 YEARS",Table4[[#This Row],[Experience]]&lt;23, "15-23  YEARS",Table4[[#This Row],[Experience]]&lt;30, "23-30 YEARS",Table4[[#This Row],[Experience]]&gt;=30, "30+ YEARS")</f>
        <v>23-30 YEARS</v>
      </c>
      <c r="J159">
        <v>213234</v>
      </c>
      <c r="K159" s="5" t="str" cm="1">
        <f t="array" ref="K159">_xlfn.IFS(Table4[[#This Row],[Salary]]&lt;50000, "0-50K",Table4[[#This Row],[Salary]]&lt;100000, "50K-1L",Table4[[#This Row],[Salary]]&lt;150000, "1L-1.5L",Table4[[#This Row],[Salary]]&lt;200000, "1.5-2L",Table4[[#This Row],[Salary]]&gt;=200000, "2L+")</f>
        <v>2L+</v>
      </c>
    </row>
    <row r="160" spans="1:11" x14ac:dyDescent="0.3">
      <c r="A160">
        <v>158</v>
      </c>
      <c r="B160">
        <v>1859</v>
      </c>
      <c r="C160">
        <v>58</v>
      </c>
      <c r="D160" s="5" t="str" cm="1">
        <f t="array" ref="D160">_xlfn.IFS(C160&lt;30, "20-29",C160&lt;40, "30-39",C160&lt;50, "40-49",C160&lt;60, "50-59",Table4[[#This Row],[Age]]&gt;=60, "60+"  )</f>
        <v>50-59</v>
      </c>
      <c r="E160" t="s">
        <v>8</v>
      </c>
      <c r="F160" t="b">
        <v>1</v>
      </c>
      <c r="G160" s="1">
        <v>42523</v>
      </c>
      <c r="H160">
        <v>27</v>
      </c>
      <c r="I160" s="5" t="str" cm="1">
        <f t="array" ref="I160">_xlfn.IFS(Table4[[#This Row],[Experience]]&lt;15, "7-15 YEARS",Table4[[#This Row],[Experience]]&lt;23, "15-23  YEARS",Table4[[#This Row],[Experience]]&lt;30, "23-30 YEARS",Table4[[#This Row],[Experience]]&gt;=30, "30+ YEARS")</f>
        <v>23-30 YEARS</v>
      </c>
      <c r="J160">
        <v>223033</v>
      </c>
      <c r="K160" s="5" t="str" cm="1">
        <f t="array" ref="K160">_xlfn.IFS(Table4[[#This Row],[Salary]]&lt;50000, "0-50K",Table4[[#This Row],[Salary]]&lt;100000, "50K-1L",Table4[[#This Row],[Salary]]&lt;150000, "1L-1.5L",Table4[[#This Row],[Salary]]&lt;200000, "1.5-2L",Table4[[#This Row],[Salary]]&gt;=200000, "2L+")</f>
        <v>2L+</v>
      </c>
    </row>
    <row r="161" spans="1:11" x14ac:dyDescent="0.3">
      <c r="A161">
        <v>159</v>
      </c>
      <c r="B161">
        <v>9580</v>
      </c>
      <c r="C161">
        <v>57</v>
      </c>
      <c r="D161" s="5" t="str" cm="1">
        <f t="array" ref="D161">_xlfn.IFS(C161&lt;30, "20-29",C161&lt;40, "30-39",C161&lt;50, "40-49",C161&lt;60, "50-59",Table4[[#This Row],[Age]]&gt;=60, "60+"  )</f>
        <v>50-59</v>
      </c>
      <c r="E161" t="s">
        <v>8</v>
      </c>
      <c r="F161" t="b">
        <v>0</v>
      </c>
      <c r="G161" s="1">
        <v>37502</v>
      </c>
      <c r="H161">
        <v>30</v>
      </c>
      <c r="I161" s="5" t="str" cm="1">
        <f t="array" ref="I161">_xlfn.IFS(Table4[[#This Row],[Experience]]&lt;15, "7-15 YEARS",Table4[[#This Row],[Experience]]&lt;23, "15-23  YEARS",Table4[[#This Row],[Experience]]&lt;30, "23-30 YEARS",Table4[[#This Row],[Experience]]&gt;=30, "30+ YEARS")</f>
        <v>30+ YEARS</v>
      </c>
      <c r="J161">
        <v>234249</v>
      </c>
      <c r="K161" s="5" t="str" cm="1">
        <f t="array" ref="K161">_xlfn.IFS(Table4[[#This Row],[Salary]]&lt;50000, "0-50K",Table4[[#This Row],[Salary]]&lt;100000, "50K-1L",Table4[[#This Row],[Salary]]&lt;150000, "1L-1.5L",Table4[[#This Row],[Salary]]&lt;200000, "1.5-2L",Table4[[#This Row],[Salary]]&gt;=200000, "2L+")</f>
        <v>2L+</v>
      </c>
    </row>
    <row r="162" spans="1:11" x14ac:dyDescent="0.3">
      <c r="A162">
        <v>160</v>
      </c>
      <c r="B162">
        <v>7166</v>
      </c>
      <c r="C162">
        <v>45</v>
      </c>
      <c r="D162" s="5" t="str" cm="1">
        <f t="array" ref="D162">_xlfn.IFS(C162&lt;30, "20-29",C162&lt;40, "30-39",C162&lt;50, "40-49",C162&lt;60, "50-59",Table4[[#This Row],[Age]]&gt;=60, "60+"  )</f>
        <v>40-49</v>
      </c>
      <c r="E162" t="s">
        <v>11</v>
      </c>
      <c r="F162" t="b">
        <v>1</v>
      </c>
      <c r="G162" s="1">
        <v>27616</v>
      </c>
      <c r="H162">
        <v>21</v>
      </c>
      <c r="I162" s="5" t="str" cm="1">
        <f t="array" ref="I162">_xlfn.IFS(Table4[[#This Row],[Experience]]&lt;15, "7-15 YEARS",Table4[[#This Row],[Experience]]&lt;23, "15-23  YEARS",Table4[[#This Row],[Experience]]&lt;30, "23-30 YEARS",Table4[[#This Row],[Experience]]&gt;=30, "30+ YEARS")</f>
        <v>15-23  YEARS</v>
      </c>
      <c r="J162">
        <v>172147</v>
      </c>
      <c r="K162" s="5" t="str" cm="1">
        <f t="array" ref="K162">_xlfn.IFS(Table4[[#This Row],[Salary]]&lt;50000, "0-50K",Table4[[#This Row],[Salary]]&lt;100000, "50K-1L",Table4[[#This Row],[Salary]]&lt;150000, "1L-1.5L",Table4[[#This Row],[Salary]]&lt;200000, "1.5-2L",Table4[[#This Row],[Salary]]&gt;=200000, "2L+")</f>
        <v>1.5-2L</v>
      </c>
    </row>
    <row r="163" spans="1:11" x14ac:dyDescent="0.3">
      <c r="A163">
        <v>161</v>
      </c>
      <c r="B163">
        <v>2383</v>
      </c>
      <c r="C163">
        <v>35</v>
      </c>
      <c r="D163" s="5" t="str" cm="1">
        <f t="array" ref="D163">_xlfn.IFS(C163&lt;30, "20-29",C163&lt;40, "30-39",C163&lt;50, "40-49",C163&lt;60, "50-59",Table4[[#This Row],[Age]]&gt;=60, "60+"  )</f>
        <v>30-39</v>
      </c>
      <c r="E163" t="s">
        <v>11</v>
      </c>
      <c r="F163" t="b">
        <v>1</v>
      </c>
      <c r="G163" s="1">
        <v>26897</v>
      </c>
      <c r="H163">
        <v>14</v>
      </c>
      <c r="I163" s="5" t="str" cm="1">
        <f t="array" ref="I163">_xlfn.IFS(Table4[[#This Row],[Experience]]&lt;15, "7-15 YEARS",Table4[[#This Row],[Experience]]&lt;23, "15-23  YEARS",Table4[[#This Row],[Experience]]&lt;30, "23-30 YEARS",Table4[[#This Row],[Experience]]&gt;=30, "30+ YEARS")</f>
        <v>7-15 YEARS</v>
      </c>
      <c r="J163">
        <v>110715</v>
      </c>
      <c r="K163" s="5" t="str" cm="1">
        <f t="array" ref="K163">_xlfn.IFS(Table4[[#This Row],[Salary]]&lt;50000, "0-50K",Table4[[#This Row],[Salary]]&lt;100000, "50K-1L",Table4[[#This Row],[Salary]]&lt;150000, "1L-1.5L",Table4[[#This Row],[Salary]]&lt;200000, "1.5-2L",Table4[[#This Row],[Salary]]&gt;=200000, "2L+")</f>
        <v>1L-1.5L</v>
      </c>
    </row>
    <row r="164" spans="1:11" x14ac:dyDescent="0.3">
      <c r="A164">
        <v>162</v>
      </c>
      <c r="B164">
        <v>7950</v>
      </c>
      <c r="C164">
        <v>50</v>
      </c>
      <c r="D164" s="5" t="str" cm="1">
        <f t="array" ref="D164">_xlfn.IFS(C164&lt;30, "20-29",C164&lt;40, "30-39",C164&lt;50, "40-49",C164&lt;60, "50-59",Table4[[#This Row],[Age]]&gt;=60, "60+"  )</f>
        <v>50-59</v>
      </c>
      <c r="E164" t="s">
        <v>12</v>
      </c>
      <c r="F164" t="b">
        <v>1</v>
      </c>
      <c r="G164" s="1">
        <v>33668</v>
      </c>
      <c r="H164">
        <v>23</v>
      </c>
      <c r="I164" s="5" t="str" cm="1">
        <f t="array" ref="I164">_xlfn.IFS(Table4[[#This Row],[Experience]]&lt;15, "7-15 YEARS",Table4[[#This Row],[Experience]]&lt;23, "15-23  YEARS",Table4[[#This Row],[Experience]]&lt;30, "23-30 YEARS",Table4[[#This Row],[Experience]]&gt;=30, "30+ YEARS")</f>
        <v>23-30 YEARS</v>
      </c>
      <c r="J164">
        <v>181074</v>
      </c>
      <c r="K164" s="5" t="str" cm="1">
        <f t="array" ref="K164">_xlfn.IFS(Table4[[#This Row],[Salary]]&lt;50000, "0-50K",Table4[[#This Row],[Salary]]&lt;100000, "50K-1L",Table4[[#This Row],[Salary]]&lt;150000, "1L-1.5L",Table4[[#This Row],[Salary]]&lt;200000, "1.5-2L",Table4[[#This Row],[Salary]]&gt;=200000, "2L+")</f>
        <v>1.5-2L</v>
      </c>
    </row>
    <row r="165" spans="1:11" x14ac:dyDescent="0.3">
      <c r="A165">
        <v>163</v>
      </c>
      <c r="B165">
        <v>5231</v>
      </c>
      <c r="C165">
        <v>48</v>
      </c>
      <c r="D165" s="5" t="str" cm="1">
        <f t="array" ref="D165">_xlfn.IFS(C165&lt;30, "20-29",C165&lt;40, "30-39",C165&lt;50, "40-49",C165&lt;60, "50-59",Table4[[#This Row],[Age]]&gt;=60, "60+"  )</f>
        <v>40-49</v>
      </c>
      <c r="E165" t="s">
        <v>12</v>
      </c>
      <c r="F165" t="b">
        <v>1</v>
      </c>
      <c r="G165" s="1">
        <v>40165</v>
      </c>
      <c r="H165">
        <v>22</v>
      </c>
      <c r="I165" s="5" t="str" cm="1">
        <f t="array" ref="I165">_xlfn.IFS(Table4[[#This Row],[Experience]]&lt;15, "7-15 YEARS",Table4[[#This Row],[Experience]]&lt;23, "15-23  YEARS",Table4[[#This Row],[Experience]]&lt;30, "23-30 YEARS",Table4[[#This Row],[Experience]]&gt;=30, "30+ YEARS")</f>
        <v>15-23  YEARS</v>
      </c>
      <c r="J165">
        <v>172103</v>
      </c>
      <c r="K165" s="5" t="str" cm="1">
        <f t="array" ref="K165">_xlfn.IFS(Table4[[#This Row],[Salary]]&lt;50000, "0-50K",Table4[[#This Row],[Salary]]&lt;100000, "50K-1L",Table4[[#This Row],[Salary]]&lt;150000, "1L-1.5L",Table4[[#This Row],[Salary]]&lt;200000, "1.5-2L",Table4[[#This Row],[Salary]]&gt;=200000, "2L+")</f>
        <v>1.5-2L</v>
      </c>
    </row>
    <row r="166" spans="1:11" x14ac:dyDescent="0.3">
      <c r="A166">
        <v>164</v>
      </c>
      <c r="B166">
        <v>3709</v>
      </c>
      <c r="C166">
        <v>32</v>
      </c>
      <c r="D166" s="5" t="str" cm="1">
        <f t="array" ref="D166">_xlfn.IFS(C166&lt;30, "20-29",C166&lt;40, "30-39",C166&lt;50, "40-49",C166&lt;60, "50-59",Table4[[#This Row],[Age]]&gt;=60, "60+"  )</f>
        <v>30-39</v>
      </c>
      <c r="E166" t="s">
        <v>12</v>
      </c>
      <c r="F166" t="b">
        <v>0</v>
      </c>
      <c r="G166" s="1">
        <v>29983</v>
      </c>
      <c r="H166">
        <v>15</v>
      </c>
      <c r="I166" s="5" t="str" cm="1">
        <f t="array" ref="I166">_xlfn.IFS(Table4[[#This Row],[Experience]]&lt;15, "7-15 YEARS",Table4[[#This Row],[Experience]]&lt;23, "15-23  YEARS",Table4[[#This Row],[Experience]]&lt;30, "23-30 YEARS",Table4[[#This Row],[Experience]]&gt;=30, "30+ YEARS")</f>
        <v>15-23  YEARS</v>
      </c>
      <c r="J166">
        <v>121991</v>
      </c>
      <c r="K166" s="5" t="str" cm="1">
        <f t="array" ref="K166">_xlfn.IFS(Table4[[#This Row],[Salary]]&lt;50000, "0-50K",Table4[[#This Row],[Salary]]&lt;100000, "50K-1L",Table4[[#This Row],[Salary]]&lt;150000, "1L-1.5L",Table4[[#This Row],[Salary]]&lt;200000, "1.5-2L",Table4[[#This Row],[Salary]]&gt;=200000, "2L+")</f>
        <v>1L-1.5L</v>
      </c>
    </row>
    <row r="167" spans="1:11" x14ac:dyDescent="0.3">
      <c r="A167">
        <v>165</v>
      </c>
      <c r="B167">
        <v>5077</v>
      </c>
      <c r="C167">
        <v>49</v>
      </c>
      <c r="D167" s="5" t="str" cm="1">
        <f t="array" ref="D167">_xlfn.IFS(C167&lt;30, "20-29",C167&lt;40, "30-39",C167&lt;50, "40-49",C167&lt;60, "50-59",Table4[[#This Row],[Age]]&gt;=60, "60+"  )</f>
        <v>40-49</v>
      </c>
      <c r="E167" t="s">
        <v>8</v>
      </c>
      <c r="F167" t="b">
        <v>0</v>
      </c>
      <c r="G167" s="1">
        <v>28454</v>
      </c>
      <c r="H167">
        <v>20</v>
      </c>
      <c r="I167" s="5" t="str" cm="1">
        <f t="array" ref="I167">_xlfn.IFS(Table4[[#This Row],[Experience]]&lt;15, "7-15 YEARS",Table4[[#This Row],[Experience]]&lt;23, "15-23  YEARS",Table4[[#This Row],[Experience]]&lt;30, "23-30 YEARS",Table4[[#This Row],[Experience]]&gt;=30, "30+ YEARS")</f>
        <v>15-23  YEARS</v>
      </c>
      <c r="J167">
        <v>174787</v>
      </c>
      <c r="K167" s="5" t="str" cm="1">
        <f t="array" ref="K167">_xlfn.IFS(Table4[[#This Row],[Salary]]&lt;50000, "0-50K",Table4[[#This Row],[Salary]]&lt;100000, "50K-1L",Table4[[#This Row],[Salary]]&lt;150000, "1L-1.5L",Table4[[#This Row],[Salary]]&lt;200000, "1.5-2L",Table4[[#This Row],[Salary]]&gt;=200000, "2L+")</f>
        <v>1.5-2L</v>
      </c>
    </row>
    <row r="168" spans="1:11" x14ac:dyDescent="0.3">
      <c r="A168">
        <v>166</v>
      </c>
      <c r="B168">
        <v>8159</v>
      </c>
      <c r="C168">
        <v>52</v>
      </c>
      <c r="D168" s="5" t="str" cm="1">
        <f t="array" ref="D168">_xlfn.IFS(C168&lt;30, "20-29",C168&lt;40, "30-39",C168&lt;50, "40-49",C168&lt;60, "50-59",Table4[[#This Row],[Age]]&gt;=60, "60+"  )</f>
        <v>50-59</v>
      </c>
      <c r="E168" t="s">
        <v>12</v>
      </c>
      <c r="F168" t="b">
        <v>0</v>
      </c>
      <c r="G168" s="1">
        <v>38987</v>
      </c>
      <c r="H168">
        <v>25</v>
      </c>
      <c r="I168" s="5" t="str" cm="1">
        <f t="array" ref="I168">_xlfn.IFS(Table4[[#This Row],[Experience]]&lt;15, "7-15 YEARS",Table4[[#This Row],[Experience]]&lt;23, "15-23  YEARS",Table4[[#This Row],[Experience]]&lt;30, "23-30 YEARS",Table4[[#This Row],[Experience]]&gt;=30, "30+ YEARS")</f>
        <v>23-30 YEARS</v>
      </c>
      <c r="J168">
        <v>200675</v>
      </c>
      <c r="K168" s="5" t="str" cm="1">
        <f t="array" ref="K168">_xlfn.IFS(Table4[[#This Row],[Salary]]&lt;50000, "0-50K",Table4[[#This Row],[Salary]]&lt;100000, "50K-1L",Table4[[#This Row],[Salary]]&lt;150000, "1L-1.5L",Table4[[#This Row],[Salary]]&lt;200000, "1.5-2L",Table4[[#This Row],[Salary]]&gt;=200000, "2L+")</f>
        <v>2L+</v>
      </c>
    </row>
    <row r="169" spans="1:11" x14ac:dyDescent="0.3">
      <c r="A169">
        <v>167</v>
      </c>
      <c r="B169">
        <v>2327</v>
      </c>
      <c r="C169">
        <v>35</v>
      </c>
      <c r="D169" s="5" t="str" cm="1">
        <f t="array" ref="D169">_xlfn.IFS(C169&lt;30, "20-29",C169&lt;40, "30-39",C169&lt;50, "40-49",C169&lt;60, "50-59",Table4[[#This Row],[Age]]&gt;=60, "60+"  )</f>
        <v>30-39</v>
      </c>
      <c r="E169" t="s">
        <v>11</v>
      </c>
      <c r="F169" t="b">
        <v>0</v>
      </c>
      <c r="G169" s="1">
        <v>26440</v>
      </c>
      <c r="H169">
        <v>17</v>
      </c>
      <c r="I169" s="5" t="str" cm="1">
        <f t="array" ref="I169">_xlfn.IFS(Table4[[#This Row],[Experience]]&lt;15, "7-15 YEARS",Table4[[#This Row],[Experience]]&lt;23, "15-23  YEARS",Table4[[#This Row],[Experience]]&lt;30, "23-30 YEARS",Table4[[#This Row],[Experience]]&gt;=30, "30+ YEARS")</f>
        <v>15-23  YEARS</v>
      </c>
      <c r="J169">
        <v>144719</v>
      </c>
      <c r="K169" s="5" t="str" cm="1">
        <f t="array" ref="K169">_xlfn.IFS(Table4[[#This Row],[Salary]]&lt;50000, "0-50K",Table4[[#This Row],[Salary]]&lt;100000, "50K-1L",Table4[[#This Row],[Salary]]&lt;150000, "1L-1.5L",Table4[[#This Row],[Salary]]&lt;200000, "1.5-2L",Table4[[#This Row],[Salary]]&gt;=200000, "2L+")</f>
        <v>1L-1.5L</v>
      </c>
    </row>
    <row r="170" spans="1:11" x14ac:dyDescent="0.3">
      <c r="A170">
        <v>168</v>
      </c>
      <c r="B170">
        <v>8869</v>
      </c>
      <c r="C170">
        <v>51</v>
      </c>
      <c r="D170" s="5" t="str" cm="1">
        <f t="array" ref="D170">_xlfn.IFS(C170&lt;30, "20-29",C170&lt;40, "30-39",C170&lt;50, "40-49",C170&lt;60, "50-59",Table4[[#This Row],[Age]]&gt;=60, "60+"  )</f>
        <v>50-59</v>
      </c>
      <c r="E170" t="s">
        <v>10</v>
      </c>
      <c r="F170" t="b">
        <v>0</v>
      </c>
      <c r="G170" s="1">
        <v>39718</v>
      </c>
      <c r="H170">
        <v>25</v>
      </c>
      <c r="I170" s="5" t="str" cm="1">
        <f t="array" ref="I170">_xlfn.IFS(Table4[[#This Row],[Experience]]&lt;15, "7-15 YEARS",Table4[[#This Row],[Experience]]&lt;23, "15-23  YEARS",Table4[[#This Row],[Experience]]&lt;30, "23-30 YEARS",Table4[[#This Row],[Experience]]&gt;=30, "30+ YEARS")</f>
        <v>23-30 YEARS</v>
      </c>
      <c r="J170">
        <v>198755</v>
      </c>
      <c r="K170" s="5" t="str" cm="1">
        <f t="array" ref="K170">_xlfn.IFS(Table4[[#This Row],[Salary]]&lt;50000, "0-50K",Table4[[#This Row],[Salary]]&lt;100000, "50K-1L",Table4[[#This Row],[Salary]]&lt;150000, "1L-1.5L",Table4[[#This Row],[Salary]]&lt;200000, "1.5-2L",Table4[[#This Row],[Salary]]&gt;=200000, "2L+")</f>
        <v>1.5-2L</v>
      </c>
    </row>
    <row r="171" spans="1:11" x14ac:dyDescent="0.3">
      <c r="A171">
        <v>169</v>
      </c>
      <c r="B171">
        <v>1184</v>
      </c>
      <c r="C171">
        <v>44</v>
      </c>
      <c r="D171" s="5" t="str" cm="1">
        <f t="array" ref="D171">_xlfn.IFS(C171&lt;30, "20-29",C171&lt;40, "30-39",C171&lt;50, "40-49",C171&lt;60, "50-59",Table4[[#This Row],[Age]]&gt;=60, "60+"  )</f>
        <v>40-49</v>
      </c>
      <c r="E171" t="s">
        <v>11</v>
      </c>
      <c r="F171" t="b">
        <v>1</v>
      </c>
      <c r="G171" s="1">
        <v>36012</v>
      </c>
      <c r="H171">
        <v>19</v>
      </c>
      <c r="I171" s="5" t="str" cm="1">
        <f t="array" ref="I171">_xlfn.IFS(Table4[[#This Row],[Experience]]&lt;15, "7-15 YEARS",Table4[[#This Row],[Experience]]&lt;23, "15-23  YEARS",Table4[[#This Row],[Experience]]&lt;30, "23-30 YEARS",Table4[[#This Row],[Experience]]&gt;=30, "30+ YEARS")</f>
        <v>15-23  YEARS</v>
      </c>
      <c r="J171">
        <v>150320</v>
      </c>
      <c r="K171" s="5" t="str" cm="1">
        <f t="array" ref="K171">_xlfn.IFS(Table4[[#This Row],[Salary]]&lt;50000, "0-50K",Table4[[#This Row],[Salary]]&lt;100000, "50K-1L",Table4[[#This Row],[Salary]]&lt;150000, "1L-1.5L",Table4[[#This Row],[Salary]]&lt;200000, "1.5-2L",Table4[[#This Row],[Salary]]&gt;=200000, "2L+")</f>
        <v>1.5-2L</v>
      </c>
    </row>
    <row r="172" spans="1:11" x14ac:dyDescent="0.3">
      <c r="A172">
        <v>170</v>
      </c>
      <c r="B172">
        <v>5290</v>
      </c>
      <c r="C172">
        <v>52</v>
      </c>
      <c r="D172" s="5" t="str" cm="1">
        <f t="array" ref="D172">_xlfn.IFS(C172&lt;30, "20-29",C172&lt;40, "30-39",C172&lt;50, "40-49",C172&lt;60, "50-59",Table4[[#This Row],[Age]]&gt;=60, "60+"  )</f>
        <v>50-59</v>
      </c>
      <c r="E172" t="s">
        <v>10</v>
      </c>
      <c r="F172" t="b">
        <v>1</v>
      </c>
      <c r="G172" s="1">
        <v>30523</v>
      </c>
      <c r="H172">
        <v>25</v>
      </c>
      <c r="I172" s="5" t="str" cm="1">
        <f t="array" ref="I172">_xlfn.IFS(Table4[[#This Row],[Experience]]&lt;15, "7-15 YEARS",Table4[[#This Row],[Experience]]&lt;23, "15-23  YEARS",Table4[[#This Row],[Experience]]&lt;30, "23-30 YEARS",Table4[[#This Row],[Experience]]&gt;=30, "30+ YEARS")</f>
        <v>23-30 YEARS</v>
      </c>
      <c r="J172">
        <v>196697</v>
      </c>
      <c r="K172" s="5" t="str" cm="1">
        <f t="array" ref="K172">_xlfn.IFS(Table4[[#This Row],[Salary]]&lt;50000, "0-50K",Table4[[#This Row],[Salary]]&lt;100000, "50K-1L",Table4[[#This Row],[Salary]]&lt;150000, "1L-1.5L",Table4[[#This Row],[Salary]]&lt;200000, "1.5-2L",Table4[[#This Row],[Salary]]&gt;=200000, "2L+")</f>
        <v>1.5-2L</v>
      </c>
    </row>
    <row r="173" spans="1:11" x14ac:dyDescent="0.3">
      <c r="A173">
        <v>171</v>
      </c>
      <c r="B173">
        <v>3041</v>
      </c>
      <c r="C173">
        <v>29</v>
      </c>
      <c r="D173" s="5" t="str" cm="1">
        <f t="array" ref="D173">_xlfn.IFS(C173&lt;30, "20-29",C173&lt;40, "30-39",C173&lt;50, "40-49",C173&lt;60, "50-59",Table4[[#This Row],[Age]]&gt;=60, "60+"  )</f>
        <v>20-29</v>
      </c>
      <c r="E173" t="s">
        <v>8</v>
      </c>
      <c r="F173" t="b">
        <v>1</v>
      </c>
      <c r="G173" s="1">
        <v>30304</v>
      </c>
      <c r="H173">
        <v>16</v>
      </c>
      <c r="I173" s="5" t="str" cm="1">
        <f t="array" ref="I173">_xlfn.IFS(Table4[[#This Row],[Experience]]&lt;15, "7-15 YEARS",Table4[[#This Row],[Experience]]&lt;23, "15-23  YEARS",Table4[[#This Row],[Experience]]&lt;30, "23-30 YEARS",Table4[[#This Row],[Experience]]&gt;=30, "30+ YEARS")</f>
        <v>15-23  YEARS</v>
      </c>
      <c r="J173">
        <v>133598</v>
      </c>
      <c r="K173" s="5" t="str" cm="1">
        <f t="array" ref="K173">_xlfn.IFS(Table4[[#This Row],[Salary]]&lt;50000, "0-50K",Table4[[#This Row],[Salary]]&lt;100000, "50K-1L",Table4[[#This Row],[Salary]]&lt;150000, "1L-1.5L",Table4[[#This Row],[Salary]]&lt;200000, "1.5-2L",Table4[[#This Row],[Salary]]&gt;=200000, "2L+")</f>
        <v>1L-1.5L</v>
      </c>
    </row>
    <row r="174" spans="1:11" x14ac:dyDescent="0.3">
      <c r="A174">
        <v>172</v>
      </c>
      <c r="B174">
        <v>3995</v>
      </c>
      <c r="C174">
        <v>38</v>
      </c>
      <c r="D174" s="5" t="str" cm="1">
        <f t="array" ref="D174">_xlfn.IFS(C174&lt;30, "20-29",C174&lt;40, "30-39",C174&lt;50, "40-49",C174&lt;60, "50-59",Table4[[#This Row],[Age]]&gt;=60, "60+"  )</f>
        <v>30-39</v>
      </c>
      <c r="E174" t="s">
        <v>11</v>
      </c>
      <c r="F174" t="b">
        <v>0</v>
      </c>
      <c r="G174" s="1">
        <v>35581</v>
      </c>
      <c r="H174">
        <v>18</v>
      </c>
      <c r="I174" s="5" t="str" cm="1">
        <f t="array" ref="I174">_xlfn.IFS(Table4[[#This Row],[Experience]]&lt;15, "7-15 YEARS",Table4[[#This Row],[Experience]]&lt;23, "15-23  YEARS",Table4[[#This Row],[Experience]]&lt;30, "23-30 YEARS",Table4[[#This Row],[Experience]]&gt;=30, "30+ YEARS")</f>
        <v>15-23  YEARS</v>
      </c>
      <c r="J174">
        <v>152005</v>
      </c>
      <c r="K174" s="5" t="str" cm="1">
        <f t="array" ref="K174">_xlfn.IFS(Table4[[#This Row],[Salary]]&lt;50000, "0-50K",Table4[[#This Row],[Salary]]&lt;100000, "50K-1L",Table4[[#This Row],[Salary]]&lt;150000, "1L-1.5L",Table4[[#This Row],[Salary]]&lt;200000, "1.5-2L",Table4[[#This Row],[Salary]]&gt;=200000, "2L+")</f>
        <v>1.5-2L</v>
      </c>
    </row>
    <row r="175" spans="1:11" x14ac:dyDescent="0.3">
      <c r="A175">
        <v>173</v>
      </c>
      <c r="B175">
        <v>3870</v>
      </c>
      <c r="C175">
        <v>30</v>
      </c>
      <c r="D175" s="5" t="str" cm="1">
        <f t="array" ref="D175">_xlfn.IFS(C175&lt;30, "20-29",C175&lt;40, "30-39",C175&lt;50, "40-49",C175&lt;60, "50-59",Table4[[#This Row],[Age]]&gt;=60, "60+"  )</f>
        <v>30-39</v>
      </c>
      <c r="E175" t="s">
        <v>12</v>
      </c>
      <c r="F175" t="b">
        <v>1</v>
      </c>
      <c r="G175" s="1">
        <v>32602</v>
      </c>
      <c r="H175">
        <v>17</v>
      </c>
      <c r="I175" s="5" t="str" cm="1">
        <f t="array" ref="I175">_xlfn.IFS(Table4[[#This Row],[Experience]]&lt;15, "7-15 YEARS",Table4[[#This Row],[Experience]]&lt;23, "15-23  YEARS",Table4[[#This Row],[Experience]]&lt;30, "23-30 YEARS",Table4[[#This Row],[Experience]]&gt;=30, "30+ YEARS")</f>
        <v>15-23  YEARS</v>
      </c>
      <c r="J175">
        <v>127810</v>
      </c>
      <c r="K175" s="5" t="str" cm="1">
        <f t="array" ref="K175">_xlfn.IFS(Table4[[#This Row],[Salary]]&lt;50000, "0-50K",Table4[[#This Row],[Salary]]&lt;100000, "50K-1L",Table4[[#This Row],[Salary]]&lt;150000, "1L-1.5L",Table4[[#This Row],[Salary]]&lt;200000, "1.5-2L",Table4[[#This Row],[Salary]]&gt;=200000, "2L+")</f>
        <v>1L-1.5L</v>
      </c>
    </row>
    <row r="176" spans="1:11" x14ac:dyDescent="0.3">
      <c r="A176">
        <v>174</v>
      </c>
      <c r="B176">
        <v>7949</v>
      </c>
      <c r="C176">
        <v>59</v>
      </c>
      <c r="D176" s="5" t="str" cm="1">
        <f t="array" ref="D176">_xlfn.IFS(C176&lt;30, "20-29",C176&lt;40, "30-39",C176&lt;50, "40-49",C176&lt;60, "50-59",Table4[[#This Row],[Age]]&gt;=60, "60+"  )</f>
        <v>50-59</v>
      </c>
      <c r="E176" t="s">
        <v>11</v>
      </c>
      <c r="F176" t="b">
        <v>0</v>
      </c>
      <c r="G176" s="1">
        <v>34971</v>
      </c>
      <c r="H176">
        <v>31</v>
      </c>
      <c r="I176" s="5" t="str" cm="1">
        <f t="array" ref="I176">_xlfn.IFS(Table4[[#This Row],[Experience]]&lt;15, "7-15 YEARS",Table4[[#This Row],[Experience]]&lt;23, "15-23  YEARS",Table4[[#This Row],[Experience]]&lt;30, "23-30 YEARS",Table4[[#This Row],[Experience]]&gt;=30, "30+ YEARS")</f>
        <v>30+ YEARS</v>
      </c>
      <c r="J176">
        <v>245029</v>
      </c>
      <c r="K176" s="5" t="str" cm="1">
        <f t="array" ref="K176">_xlfn.IFS(Table4[[#This Row],[Salary]]&lt;50000, "0-50K",Table4[[#This Row],[Salary]]&lt;100000, "50K-1L",Table4[[#This Row],[Salary]]&lt;150000, "1L-1.5L",Table4[[#This Row],[Salary]]&lt;200000, "1.5-2L",Table4[[#This Row],[Salary]]&gt;=200000, "2L+")</f>
        <v>2L+</v>
      </c>
    </row>
    <row r="177" spans="1:11" x14ac:dyDescent="0.3">
      <c r="A177">
        <v>175</v>
      </c>
      <c r="B177">
        <v>3635</v>
      </c>
      <c r="C177">
        <v>40</v>
      </c>
      <c r="D177" s="5" t="str" cm="1">
        <f t="array" ref="D177">_xlfn.IFS(C177&lt;30, "20-29",C177&lt;40, "30-39",C177&lt;50, "40-49",C177&lt;60, "50-59",Table4[[#This Row],[Age]]&gt;=60, "60+"  )</f>
        <v>40-49</v>
      </c>
      <c r="E177" t="s">
        <v>9</v>
      </c>
      <c r="F177" t="b">
        <v>1</v>
      </c>
      <c r="G177" s="1">
        <v>43994</v>
      </c>
      <c r="H177">
        <v>20</v>
      </c>
      <c r="I177" s="5" t="str" cm="1">
        <f t="array" ref="I177">_xlfn.IFS(Table4[[#This Row],[Experience]]&lt;15, "7-15 YEARS",Table4[[#This Row],[Experience]]&lt;23, "15-23  YEARS",Table4[[#This Row],[Experience]]&lt;30, "23-30 YEARS",Table4[[#This Row],[Experience]]&gt;=30, "30+ YEARS")</f>
        <v>15-23  YEARS</v>
      </c>
      <c r="J177">
        <v>159567</v>
      </c>
      <c r="K177" s="5" t="str" cm="1">
        <f t="array" ref="K177">_xlfn.IFS(Table4[[#This Row],[Salary]]&lt;50000, "0-50K",Table4[[#This Row],[Salary]]&lt;100000, "50K-1L",Table4[[#This Row],[Salary]]&lt;150000, "1L-1.5L",Table4[[#This Row],[Salary]]&lt;200000, "1.5-2L",Table4[[#This Row],[Salary]]&gt;=200000, "2L+")</f>
        <v>1.5-2L</v>
      </c>
    </row>
    <row r="178" spans="1:11" x14ac:dyDescent="0.3">
      <c r="A178">
        <v>176</v>
      </c>
      <c r="B178">
        <v>5679</v>
      </c>
      <c r="C178">
        <v>38</v>
      </c>
      <c r="D178" s="5" t="str" cm="1">
        <f t="array" ref="D178">_xlfn.IFS(C178&lt;30, "20-29",C178&lt;40, "30-39",C178&lt;50, "40-49",C178&lt;60, "50-59",Table4[[#This Row],[Age]]&gt;=60, "60+"  )</f>
        <v>30-39</v>
      </c>
      <c r="E178" t="s">
        <v>10</v>
      </c>
      <c r="F178" t="b">
        <v>1</v>
      </c>
      <c r="G178" s="1">
        <v>33255</v>
      </c>
      <c r="H178">
        <v>20</v>
      </c>
      <c r="I178" s="5" t="str" cm="1">
        <f t="array" ref="I178">_xlfn.IFS(Table4[[#This Row],[Experience]]&lt;15, "7-15 YEARS",Table4[[#This Row],[Experience]]&lt;23, "15-23  YEARS",Table4[[#This Row],[Experience]]&lt;30, "23-30 YEARS",Table4[[#This Row],[Experience]]&gt;=30, "30+ YEARS")</f>
        <v>15-23  YEARS</v>
      </c>
      <c r="J178">
        <v>165488</v>
      </c>
      <c r="K178" s="5" t="str" cm="1">
        <f t="array" ref="K178">_xlfn.IFS(Table4[[#This Row],[Salary]]&lt;50000, "0-50K",Table4[[#This Row],[Salary]]&lt;100000, "50K-1L",Table4[[#This Row],[Salary]]&lt;150000, "1L-1.5L",Table4[[#This Row],[Salary]]&lt;200000, "1.5-2L",Table4[[#This Row],[Salary]]&gt;=200000, "2L+")</f>
        <v>1.5-2L</v>
      </c>
    </row>
    <row r="179" spans="1:11" x14ac:dyDescent="0.3">
      <c r="A179">
        <v>177</v>
      </c>
      <c r="B179">
        <v>5525</v>
      </c>
      <c r="C179">
        <v>36</v>
      </c>
      <c r="D179" s="5" t="str" cm="1">
        <f t="array" ref="D179">_xlfn.IFS(C179&lt;30, "20-29",C179&lt;40, "30-39",C179&lt;50, "40-49",C179&lt;60, "50-59",Table4[[#This Row],[Age]]&gt;=60, "60+"  )</f>
        <v>30-39</v>
      </c>
      <c r="E179" t="s">
        <v>10</v>
      </c>
      <c r="F179" t="b">
        <v>0</v>
      </c>
      <c r="G179" s="1">
        <v>38059</v>
      </c>
      <c r="H179">
        <v>18</v>
      </c>
      <c r="I179" s="5" t="str" cm="1">
        <f t="array" ref="I179">_xlfn.IFS(Table4[[#This Row],[Experience]]&lt;15, "7-15 YEARS",Table4[[#This Row],[Experience]]&lt;23, "15-23  YEARS",Table4[[#This Row],[Experience]]&lt;30, "23-30 YEARS",Table4[[#This Row],[Experience]]&gt;=30, "30+ YEARS")</f>
        <v>15-23  YEARS</v>
      </c>
      <c r="J179">
        <v>144373</v>
      </c>
      <c r="K179" s="5" t="str" cm="1">
        <f t="array" ref="K179">_xlfn.IFS(Table4[[#This Row],[Salary]]&lt;50000, "0-50K",Table4[[#This Row],[Salary]]&lt;100000, "50K-1L",Table4[[#This Row],[Salary]]&lt;150000, "1L-1.5L",Table4[[#This Row],[Salary]]&lt;200000, "1.5-2L",Table4[[#This Row],[Salary]]&gt;=200000, "2L+")</f>
        <v>1L-1.5L</v>
      </c>
    </row>
    <row r="180" spans="1:11" x14ac:dyDescent="0.3">
      <c r="A180">
        <v>178</v>
      </c>
      <c r="B180">
        <v>9645</v>
      </c>
      <c r="C180">
        <v>52</v>
      </c>
      <c r="D180" s="5" t="str" cm="1">
        <f t="array" ref="D180">_xlfn.IFS(C180&lt;30, "20-29",C180&lt;40, "30-39",C180&lt;50, "40-49",C180&lt;60, "50-59",Table4[[#This Row],[Age]]&gt;=60, "60+"  )</f>
        <v>50-59</v>
      </c>
      <c r="E180" t="s">
        <v>8</v>
      </c>
      <c r="F180" t="b">
        <v>0</v>
      </c>
      <c r="G180" s="1">
        <v>29741</v>
      </c>
      <c r="H180">
        <v>25</v>
      </c>
      <c r="I180" s="5" t="str" cm="1">
        <f t="array" ref="I180">_xlfn.IFS(Table4[[#This Row],[Experience]]&lt;15, "7-15 YEARS",Table4[[#This Row],[Experience]]&lt;23, "15-23  YEARS",Table4[[#This Row],[Experience]]&lt;30, "23-30 YEARS",Table4[[#This Row],[Experience]]&gt;=30, "30+ YEARS")</f>
        <v>23-30 YEARS</v>
      </c>
      <c r="J180">
        <v>209113</v>
      </c>
      <c r="K180" s="5" t="str" cm="1">
        <f t="array" ref="K180">_xlfn.IFS(Table4[[#This Row],[Salary]]&lt;50000, "0-50K",Table4[[#This Row],[Salary]]&lt;100000, "50K-1L",Table4[[#This Row],[Salary]]&lt;150000, "1L-1.5L",Table4[[#This Row],[Salary]]&lt;200000, "1.5-2L",Table4[[#This Row],[Salary]]&gt;=200000, "2L+")</f>
        <v>2L+</v>
      </c>
    </row>
    <row r="181" spans="1:11" x14ac:dyDescent="0.3">
      <c r="A181">
        <v>179</v>
      </c>
      <c r="B181">
        <v>9968</v>
      </c>
      <c r="C181">
        <v>62</v>
      </c>
      <c r="D181" s="5" t="str" cm="1">
        <f t="array" ref="D181">_xlfn.IFS(C181&lt;30, "20-29",C181&lt;40, "30-39",C181&lt;50, "40-49",C181&lt;60, "50-59",Table4[[#This Row],[Age]]&gt;=60, "60+"  )</f>
        <v>60+</v>
      </c>
      <c r="E181" t="s">
        <v>12</v>
      </c>
      <c r="F181" t="b">
        <v>1</v>
      </c>
      <c r="G181" s="1">
        <v>38380</v>
      </c>
      <c r="H181">
        <v>29</v>
      </c>
      <c r="I181" s="5" t="str" cm="1">
        <f t="array" ref="I181">_xlfn.IFS(Table4[[#This Row],[Experience]]&lt;15, "7-15 YEARS",Table4[[#This Row],[Experience]]&lt;23, "15-23  YEARS",Table4[[#This Row],[Experience]]&lt;30, "23-30 YEARS",Table4[[#This Row],[Experience]]&gt;=30, "30+ YEARS")</f>
        <v>23-30 YEARS</v>
      </c>
      <c r="J181">
        <v>230159</v>
      </c>
      <c r="K181" s="5" t="str" cm="1">
        <f t="array" ref="K181">_xlfn.IFS(Table4[[#This Row],[Salary]]&lt;50000, "0-50K",Table4[[#This Row],[Salary]]&lt;100000, "50K-1L",Table4[[#This Row],[Salary]]&lt;150000, "1L-1.5L",Table4[[#This Row],[Salary]]&lt;200000, "1.5-2L",Table4[[#This Row],[Salary]]&gt;=200000, "2L+")</f>
        <v>2L+</v>
      </c>
    </row>
    <row r="182" spans="1:11" x14ac:dyDescent="0.3">
      <c r="A182">
        <v>180</v>
      </c>
      <c r="B182">
        <v>3953</v>
      </c>
      <c r="C182">
        <v>62</v>
      </c>
      <c r="D182" s="5" t="str" cm="1">
        <f t="array" ref="D182">_xlfn.IFS(C182&lt;30, "20-29",C182&lt;40, "30-39",C182&lt;50, "40-49",C182&lt;60, "50-59",Table4[[#This Row],[Age]]&gt;=60, "60+"  )</f>
        <v>60+</v>
      </c>
      <c r="E182" t="s">
        <v>10</v>
      </c>
      <c r="F182" t="b">
        <v>1</v>
      </c>
      <c r="G182" s="1">
        <v>43363</v>
      </c>
      <c r="H182">
        <v>32</v>
      </c>
      <c r="I182" s="5" t="str" cm="1">
        <f t="array" ref="I182">_xlfn.IFS(Table4[[#This Row],[Experience]]&lt;15, "7-15 YEARS",Table4[[#This Row],[Experience]]&lt;23, "15-23  YEARS",Table4[[#This Row],[Experience]]&lt;30, "23-30 YEARS",Table4[[#This Row],[Experience]]&gt;=30, "30+ YEARS")</f>
        <v>30+ YEARS</v>
      </c>
      <c r="J182">
        <v>242948</v>
      </c>
      <c r="K182" s="5" t="str" cm="1">
        <f t="array" ref="K182">_xlfn.IFS(Table4[[#This Row],[Salary]]&lt;50000, "0-50K",Table4[[#This Row],[Salary]]&lt;100000, "50K-1L",Table4[[#This Row],[Salary]]&lt;150000, "1L-1.5L",Table4[[#This Row],[Salary]]&lt;200000, "1.5-2L",Table4[[#This Row],[Salary]]&gt;=200000, "2L+")</f>
        <v>2L+</v>
      </c>
    </row>
    <row r="183" spans="1:11" x14ac:dyDescent="0.3">
      <c r="A183">
        <v>181</v>
      </c>
      <c r="B183">
        <v>4758</v>
      </c>
      <c r="C183">
        <v>42</v>
      </c>
      <c r="D183" s="5" t="str" cm="1">
        <f t="array" ref="D183">_xlfn.IFS(C183&lt;30, "20-29",C183&lt;40, "30-39",C183&lt;50, "40-49",C183&lt;60, "50-59",Table4[[#This Row],[Age]]&gt;=60, "60+"  )</f>
        <v>40-49</v>
      </c>
      <c r="E183" t="s">
        <v>11</v>
      </c>
      <c r="F183" t="b">
        <v>0</v>
      </c>
      <c r="G183" s="1">
        <v>37458</v>
      </c>
      <c r="H183">
        <v>22</v>
      </c>
      <c r="I183" s="5" t="str" cm="1">
        <f t="array" ref="I183">_xlfn.IFS(Table4[[#This Row],[Experience]]&lt;15, "7-15 YEARS",Table4[[#This Row],[Experience]]&lt;23, "15-23  YEARS",Table4[[#This Row],[Experience]]&lt;30, "23-30 YEARS",Table4[[#This Row],[Experience]]&gt;=30, "30+ YEARS")</f>
        <v>15-23  YEARS</v>
      </c>
      <c r="J183">
        <v>181627</v>
      </c>
      <c r="K183" s="5" t="str" cm="1">
        <f t="array" ref="K183">_xlfn.IFS(Table4[[#This Row],[Salary]]&lt;50000, "0-50K",Table4[[#This Row],[Salary]]&lt;100000, "50K-1L",Table4[[#This Row],[Salary]]&lt;150000, "1L-1.5L",Table4[[#This Row],[Salary]]&lt;200000, "1.5-2L",Table4[[#This Row],[Salary]]&gt;=200000, "2L+")</f>
        <v>1.5-2L</v>
      </c>
    </row>
    <row r="184" spans="1:11" x14ac:dyDescent="0.3">
      <c r="A184">
        <v>182</v>
      </c>
      <c r="B184">
        <v>7427</v>
      </c>
      <c r="C184">
        <v>48</v>
      </c>
      <c r="D184" s="5" t="str" cm="1">
        <f t="array" ref="D184">_xlfn.IFS(C184&lt;30, "20-29",C184&lt;40, "30-39",C184&lt;50, "40-49",C184&lt;60, "50-59",Table4[[#This Row],[Age]]&gt;=60, "60+"  )</f>
        <v>40-49</v>
      </c>
      <c r="E184" t="s">
        <v>12</v>
      </c>
      <c r="F184" t="b">
        <v>0</v>
      </c>
      <c r="G184" s="1">
        <v>32319</v>
      </c>
      <c r="H184">
        <v>24</v>
      </c>
      <c r="I184" s="5" t="str" cm="1">
        <f t="array" ref="I184">_xlfn.IFS(Table4[[#This Row],[Experience]]&lt;15, "7-15 YEARS",Table4[[#This Row],[Experience]]&lt;23, "15-23  YEARS",Table4[[#This Row],[Experience]]&lt;30, "23-30 YEARS",Table4[[#This Row],[Experience]]&gt;=30, "30+ YEARS")</f>
        <v>23-30 YEARS</v>
      </c>
      <c r="J184">
        <v>185708</v>
      </c>
      <c r="K184" s="5" t="str" cm="1">
        <f t="array" ref="K184">_xlfn.IFS(Table4[[#This Row],[Salary]]&lt;50000, "0-50K",Table4[[#This Row],[Salary]]&lt;100000, "50K-1L",Table4[[#This Row],[Salary]]&lt;150000, "1L-1.5L",Table4[[#This Row],[Salary]]&lt;200000, "1.5-2L",Table4[[#This Row],[Salary]]&gt;=200000, "2L+")</f>
        <v>1.5-2L</v>
      </c>
    </row>
    <row r="185" spans="1:11" x14ac:dyDescent="0.3">
      <c r="A185">
        <v>183</v>
      </c>
      <c r="B185">
        <v>8999</v>
      </c>
      <c r="C185">
        <v>28</v>
      </c>
      <c r="D185" s="5" t="str" cm="1">
        <f t="array" ref="D185">_xlfn.IFS(C185&lt;30, "20-29",C185&lt;40, "30-39",C185&lt;50, "40-49",C185&lt;60, "50-59",Table4[[#This Row],[Age]]&gt;=60, "60+"  )</f>
        <v>20-29</v>
      </c>
      <c r="E185" t="s">
        <v>10</v>
      </c>
      <c r="F185" t="b">
        <v>1</v>
      </c>
      <c r="G185" s="1">
        <v>42684</v>
      </c>
      <c r="H185">
        <v>14</v>
      </c>
      <c r="I185" s="5" t="str" cm="1">
        <f t="array" ref="I185">_xlfn.IFS(Table4[[#This Row],[Experience]]&lt;15, "7-15 YEARS",Table4[[#This Row],[Experience]]&lt;23, "15-23  YEARS",Table4[[#This Row],[Experience]]&lt;30, "23-30 YEARS",Table4[[#This Row],[Experience]]&gt;=30, "30+ YEARS")</f>
        <v>7-15 YEARS</v>
      </c>
      <c r="J185">
        <v>111947</v>
      </c>
      <c r="K185" s="5" t="str" cm="1">
        <f t="array" ref="K185">_xlfn.IFS(Table4[[#This Row],[Salary]]&lt;50000, "0-50K",Table4[[#This Row],[Salary]]&lt;100000, "50K-1L",Table4[[#This Row],[Salary]]&lt;150000, "1L-1.5L",Table4[[#This Row],[Salary]]&lt;200000, "1.5-2L",Table4[[#This Row],[Salary]]&gt;=200000, "2L+")</f>
        <v>1L-1.5L</v>
      </c>
    </row>
    <row r="186" spans="1:11" x14ac:dyDescent="0.3">
      <c r="A186">
        <v>184</v>
      </c>
      <c r="B186">
        <v>7658</v>
      </c>
      <c r="C186">
        <v>53</v>
      </c>
      <c r="D186" s="5" t="str" cm="1">
        <f t="array" ref="D186">_xlfn.IFS(C186&lt;30, "20-29",C186&lt;40, "30-39",C186&lt;50, "40-49",C186&lt;60, "50-59",Table4[[#This Row],[Age]]&gt;=60, "60+"  )</f>
        <v>50-59</v>
      </c>
      <c r="E186" t="s">
        <v>12</v>
      </c>
      <c r="F186" t="b">
        <v>0</v>
      </c>
      <c r="G186" s="1">
        <v>26700</v>
      </c>
      <c r="H186">
        <v>26</v>
      </c>
      <c r="I186" s="5" t="str" cm="1">
        <f t="array" ref="I186">_xlfn.IFS(Table4[[#This Row],[Experience]]&lt;15, "7-15 YEARS",Table4[[#This Row],[Experience]]&lt;23, "15-23  YEARS",Table4[[#This Row],[Experience]]&lt;30, "23-30 YEARS",Table4[[#This Row],[Experience]]&gt;=30, "30+ YEARS")</f>
        <v>23-30 YEARS</v>
      </c>
      <c r="J186">
        <v>201058</v>
      </c>
      <c r="K186" s="5" t="str" cm="1">
        <f t="array" ref="K186">_xlfn.IFS(Table4[[#This Row],[Salary]]&lt;50000, "0-50K",Table4[[#This Row],[Salary]]&lt;100000, "50K-1L",Table4[[#This Row],[Salary]]&lt;150000, "1L-1.5L",Table4[[#This Row],[Salary]]&lt;200000, "1.5-2L",Table4[[#This Row],[Salary]]&gt;=200000, "2L+")</f>
        <v>2L+</v>
      </c>
    </row>
    <row r="187" spans="1:11" x14ac:dyDescent="0.3">
      <c r="A187">
        <v>185</v>
      </c>
      <c r="B187">
        <v>4734</v>
      </c>
      <c r="C187">
        <v>42</v>
      </c>
      <c r="D187" s="5" t="str" cm="1">
        <f t="array" ref="D187">_xlfn.IFS(C187&lt;30, "20-29",C187&lt;40, "30-39",C187&lt;50, "40-49",C187&lt;60, "50-59",Table4[[#This Row],[Age]]&gt;=60, "60+"  )</f>
        <v>40-49</v>
      </c>
      <c r="E187" t="s">
        <v>10</v>
      </c>
      <c r="F187" t="b">
        <v>1</v>
      </c>
      <c r="G187" s="1">
        <v>34316</v>
      </c>
      <c r="H187">
        <v>21</v>
      </c>
      <c r="I187" s="5" t="str" cm="1">
        <f t="array" ref="I187">_xlfn.IFS(Table4[[#This Row],[Experience]]&lt;15, "7-15 YEARS",Table4[[#This Row],[Experience]]&lt;23, "15-23  YEARS",Table4[[#This Row],[Experience]]&lt;30, "23-30 YEARS",Table4[[#This Row],[Experience]]&gt;=30, "30+ YEARS")</f>
        <v>15-23  YEARS</v>
      </c>
      <c r="J187">
        <v>168451</v>
      </c>
      <c r="K187" s="5" t="str" cm="1">
        <f t="array" ref="K187">_xlfn.IFS(Table4[[#This Row],[Salary]]&lt;50000, "0-50K",Table4[[#This Row],[Salary]]&lt;100000, "50K-1L",Table4[[#This Row],[Salary]]&lt;150000, "1L-1.5L",Table4[[#This Row],[Salary]]&lt;200000, "1.5-2L",Table4[[#This Row],[Salary]]&gt;=200000, "2L+")</f>
        <v>1.5-2L</v>
      </c>
    </row>
    <row r="188" spans="1:11" x14ac:dyDescent="0.3">
      <c r="A188">
        <v>186</v>
      </c>
      <c r="B188">
        <v>7336</v>
      </c>
      <c r="C188">
        <v>22</v>
      </c>
      <c r="D188" s="5" t="str" cm="1">
        <f t="array" ref="D188">_xlfn.IFS(C188&lt;30, "20-29",C188&lt;40, "30-39",C188&lt;50, "40-49",C188&lt;60, "50-59",Table4[[#This Row],[Age]]&gt;=60, "60+"  )</f>
        <v>20-29</v>
      </c>
      <c r="E188" t="s">
        <v>9</v>
      </c>
      <c r="F188" t="b">
        <v>1</v>
      </c>
      <c r="G188" s="1">
        <v>34814</v>
      </c>
      <c r="H188">
        <v>8</v>
      </c>
      <c r="I188" s="5" t="str" cm="1">
        <f t="array" ref="I188">_xlfn.IFS(Table4[[#This Row],[Experience]]&lt;15, "7-15 YEARS",Table4[[#This Row],[Experience]]&lt;23, "15-23  YEARS",Table4[[#This Row],[Experience]]&lt;30, "23-30 YEARS",Table4[[#This Row],[Experience]]&gt;=30, "30+ YEARS")</f>
        <v>7-15 YEARS</v>
      </c>
      <c r="J188">
        <v>57732</v>
      </c>
      <c r="K188" s="5" t="str" cm="1">
        <f t="array" ref="K188">_xlfn.IFS(Table4[[#This Row],[Salary]]&lt;50000, "0-50K",Table4[[#This Row],[Salary]]&lt;100000, "50K-1L",Table4[[#This Row],[Salary]]&lt;150000, "1L-1.5L",Table4[[#This Row],[Salary]]&lt;200000, "1.5-2L",Table4[[#This Row],[Salary]]&gt;=200000, "2L+")</f>
        <v>50K-1L</v>
      </c>
    </row>
    <row r="189" spans="1:11" x14ac:dyDescent="0.3">
      <c r="A189">
        <v>187</v>
      </c>
      <c r="B189">
        <v>4024</v>
      </c>
      <c r="C189">
        <v>46</v>
      </c>
      <c r="D189" s="5" t="str" cm="1">
        <f t="array" ref="D189">_xlfn.IFS(C189&lt;30, "20-29",C189&lt;40, "30-39",C189&lt;50, "40-49",C189&lt;60, "50-59",Table4[[#This Row],[Age]]&gt;=60, "60+"  )</f>
        <v>40-49</v>
      </c>
      <c r="E189" t="s">
        <v>11</v>
      </c>
      <c r="F189" t="b">
        <v>1</v>
      </c>
      <c r="G189" s="1">
        <v>39169</v>
      </c>
      <c r="H189">
        <v>25</v>
      </c>
      <c r="I189" s="5" t="str" cm="1">
        <f t="array" ref="I189">_xlfn.IFS(Table4[[#This Row],[Experience]]&lt;15, "7-15 YEARS",Table4[[#This Row],[Experience]]&lt;23, "15-23  YEARS",Table4[[#This Row],[Experience]]&lt;30, "23-30 YEARS",Table4[[#This Row],[Experience]]&gt;=30, "30+ YEARS")</f>
        <v>23-30 YEARS</v>
      </c>
      <c r="J189">
        <v>197413</v>
      </c>
      <c r="K189" s="5" t="str" cm="1">
        <f t="array" ref="K189">_xlfn.IFS(Table4[[#This Row],[Salary]]&lt;50000, "0-50K",Table4[[#This Row],[Salary]]&lt;100000, "50K-1L",Table4[[#This Row],[Salary]]&lt;150000, "1L-1.5L",Table4[[#This Row],[Salary]]&lt;200000, "1.5-2L",Table4[[#This Row],[Salary]]&gt;=200000, "2L+")</f>
        <v>1.5-2L</v>
      </c>
    </row>
    <row r="190" spans="1:11" x14ac:dyDescent="0.3">
      <c r="A190">
        <v>188</v>
      </c>
      <c r="B190">
        <v>7752</v>
      </c>
      <c r="C190">
        <v>30</v>
      </c>
      <c r="D190" s="5" t="str" cm="1">
        <f t="array" ref="D190">_xlfn.IFS(C190&lt;30, "20-29",C190&lt;40, "30-39",C190&lt;50, "40-49",C190&lt;60, "50-59",Table4[[#This Row],[Age]]&gt;=60, "60+"  )</f>
        <v>30-39</v>
      </c>
      <c r="E190" t="s">
        <v>10</v>
      </c>
      <c r="F190" t="b">
        <v>0</v>
      </c>
      <c r="G190" s="1">
        <v>27272</v>
      </c>
      <c r="H190">
        <v>16</v>
      </c>
      <c r="I190" s="5" t="str" cm="1">
        <f t="array" ref="I190">_xlfn.IFS(Table4[[#This Row],[Experience]]&lt;15, "7-15 YEARS",Table4[[#This Row],[Experience]]&lt;23, "15-23  YEARS",Table4[[#This Row],[Experience]]&lt;30, "23-30 YEARS",Table4[[#This Row],[Experience]]&gt;=30, "30+ YEARS")</f>
        <v>15-23  YEARS</v>
      </c>
      <c r="J190">
        <v>121722</v>
      </c>
      <c r="K190" s="5" t="str" cm="1">
        <f t="array" ref="K190">_xlfn.IFS(Table4[[#This Row],[Salary]]&lt;50000, "0-50K",Table4[[#This Row],[Salary]]&lt;100000, "50K-1L",Table4[[#This Row],[Salary]]&lt;150000, "1L-1.5L",Table4[[#This Row],[Salary]]&lt;200000, "1.5-2L",Table4[[#This Row],[Salary]]&gt;=200000, "2L+")</f>
        <v>1L-1.5L</v>
      </c>
    </row>
    <row r="191" spans="1:11" x14ac:dyDescent="0.3">
      <c r="A191">
        <v>189</v>
      </c>
      <c r="B191">
        <v>9981</v>
      </c>
      <c r="C191">
        <v>30</v>
      </c>
      <c r="D191" s="5" t="str" cm="1">
        <f t="array" ref="D191">_xlfn.IFS(C191&lt;30, "20-29",C191&lt;40, "30-39",C191&lt;50, "40-49",C191&lt;60, "50-59",Table4[[#This Row],[Age]]&gt;=60, "60+"  )</f>
        <v>30-39</v>
      </c>
      <c r="E191" t="s">
        <v>11</v>
      </c>
      <c r="F191" t="b">
        <v>1</v>
      </c>
      <c r="G191" s="1">
        <v>29733</v>
      </c>
      <c r="H191">
        <v>18</v>
      </c>
      <c r="I191" s="5" t="str" cm="1">
        <f t="array" ref="I191">_xlfn.IFS(Table4[[#This Row],[Experience]]&lt;15, "7-15 YEARS",Table4[[#This Row],[Experience]]&lt;23, "15-23  YEARS",Table4[[#This Row],[Experience]]&lt;30, "23-30 YEARS",Table4[[#This Row],[Experience]]&gt;=30, "30+ YEARS")</f>
        <v>15-23  YEARS</v>
      </c>
      <c r="J191">
        <v>152895</v>
      </c>
      <c r="K191" s="5" t="str" cm="1">
        <f t="array" ref="K191">_xlfn.IFS(Table4[[#This Row],[Salary]]&lt;50000, "0-50K",Table4[[#This Row],[Salary]]&lt;100000, "50K-1L",Table4[[#This Row],[Salary]]&lt;150000, "1L-1.5L",Table4[[#This Row],[Salary]]&lt;200000, "1.5-2L",Table4[[#This Row],[Salary]]&gt;=200000, "2L+")</f>
        <v>1.5-2L</v>
      </c>
    </row>
    <row r="192" spans="1:11" x14ac:dyDescent="0.3">
      <c r="A192">
        <v>190</v>
      </c>
      <c r="B192">
        <v>2003</v>
      </c>
      <c r="C192">
        <v>30</v>
      </c>
      <c r="D192" s="5" t="str" cm="1">
        <f t="array" ref="D192">_xlfn.IFS(C192&lt;30, "20-29",C192&lt;40, "30-39",C192&lt;50, "40-49",C192&lt;60, "50-59",Table4[[#This Row],[Age]]&gt;=60, "60+"  )</f>
        <v>30-39</v>
      </c>
      <c r="E192" t="s">
        <v>8</v>
      </c>
      <c r="F192" t="b">
        <v>0</v>
      </c>
      <c r="G192" s="1">
        <v>41081</v>
      </c>
      <c r="H192">
        <v>14</v>
      </c>
      <c r="I192" s="5" t="str" cm="1">
        <f t="array" ref="I192">_xlfn.IFS(Table4[[#This Row],[Experience]]&lt;15, "7-15 YEARS",Table4[[#This Row],[Experience]]&lt;23, "15-23  YEARS",Table4[[#This Row],[Experience]]&lt;30, "23-30 YEARS",Table4[[#This Row],[Experience]]&gt;=30, "30+ YEARS")</f>
        <v>7-15 YEARS</v>
      </c>
      <c r="J192">
        <v>117925</v>
      </c>
      <c r="K192" s="5" t="str" cm="1">
        <f t="array" ref="K192">_xlfn.IFS(Table4[[#This Row],[Salary]]&lt;50000, "0-50K",Table4[[#This Row],[Salary]]&lt;100000, "50K-1L",Table4[[#This Row],[Salary]]&lt;150000, "1L-1.5L",Table4[[#This Row],[Salary]]&lt;200000, "1.5-2L",Table4[[#This Row],[Salary]]&gt;=200000, "2L+")</f>
        <v>1L-1.5L</v>
      </c>
    </row>
    <row r="193" spans="1:11" x14ac:dyDescent="0.3">
      <c r="A193">
        <v>191</v>
      </c>
      <c r="B193">
        <v>9689</v>
      </c>
      <c r="C193">
        <v>56</v>
      </c>
      <c r="D193" s="5" t="str" cm="1">
        <f t="array" ref="D193">_xlfn.IFS(C193&lt;30, "20-29",C193&lt;40, "30-39",C193&lt;50, "40-49",C193&lt;60, "50-59",Table4[[#This Row],[Age]]&gt;=60, "60+"  )</f>
        <v>50-59</v>
      </c>
      <c r="E193" t="s">
        <v>11</v>
      </c>
      <c r="F193" t="b">
        <v>1</v>
      </c>
      <c r="G193" s="1">
        <v>33726</v>
      </c>
      <c r="H193">
        <v>24</v>
      </c>
      <c r="I193" s="5" t="str" cm="1">
        <f t="array" ref="I193">_xlfn.IFS(Table4[[#This Row],[Experience]]&lt;15, "7-15 YEARS",Table4[[#This Row],[Experience]]&lt;23, "15-23  YEARS",Table4[[#This Row],[Experience]]&lt;30, "23-30 YEARS",Table4[[#This Row],[Experience]]&gt;=30, "30+ YEARS")</f>
        <v>23-30 YEARS</v>
      </c>
      <c r="J193">
        <v>193844</v>
      </c>
      <c r="K193" s="5" t="str" cm="1">
        <f t="array" ref="K193">_xlfn.IFS(Table4[[#This Row],[Salary]]&lt;50000, "0-50K",Table4[[#This Row],[Salary]]&lt;100000, "50K-1L",Table4[[#This Row],[Salary]]&lt;150000, "1L-1.5L",Table4[[#This Row],[Salary]]&lt;200000, "1.5-2L",Table4[[#This Row],[Salary]]&gt;=200000, "2L+")</f>
        <v>1.5-2L</v>
      </c>
    </row>
    <row r="194" spans="1:11" x14ac:dyDescent="0.3">
      <c r="A194">
        <v>192</v>
      </c>
      <c r="B194">
        <v>2869</v>
      </c>
      <c r="C194">
        <v>30</v>
      </c>
      <c r="D194" s="5" t="str" cm="1">
        <f t="array" ref="D194">_xlfn.IFS(C194&lt;30, "20-29",C194&lt;40, "30-39",C194&lt;50, "40-49",C194&lt;60, "50-59",Table4[[#This Row],[Age]]&gt;=60, "60+"  )</f>
        <v>30-39</v>
      </c>
      <c r="E194" t="s">
        <v>12</v>
      </c>
      <c r="F194" t="b">
        <v>1</v>
      </c>
      <c r="G194" s="1">
        <v>26179</v>
      </c>
      <c r="H194">
        <v>14</v>
      </c>
      <c r="I194" s="5" t="str" cm="1">
        <f t="array" ref="I194">_xlfn.IFS(Table4[[#This Row],[Experience]]&lt;15, "7-15 YEARS",Table4[[#This Row],[Experience]]&lt;23, "15-23  YEARS",Table4[[#This Row],[Experience]]&lt;30, "23-30 YEARS",Table4[[#This Row],[Experience]]&gt;=30, "30+ YEARS")</f>
        <v>7-15 YEARS</v>
      </c>
      <c r="J194">
        <v>121879</v>
      </c>
      <c r="K194" s="5" t="str" cm="1">
        <f t="array" ref="K194">_xlfn.IFS(Table4[[#This Row],[Salary]]&lt;50000, "0-50K",Table4[[#This Row],[Salary]]&lt;100000, "50K-1L",Table4[[#This Row],[Salary]]&lt;150000, "1L-1.5L",Table4[[#This Row],[Salary]]&lt;200000, "1.5-2L",Table4[[#This Row],[Salary]]&gt;=200000, "2L+")</f>
        <v>1L-1.5L</v>
      </c>
    </row>
    <row r="195" spans="1:11" x14ac:dyDescent="0.3">
      <c r="A195">
        <v>193</v>
      </c>
      <c r="B195">
        <v>9133</v>
      </c>
      <c r="C195">
        <v>41</v>
      </c>
      <c r="D195" s="5" t="str" cm="1">
        <f t="array" ref="D195">_xlfn.IFS(C195&lt;30, "20-29",C195&lt;40, "30-39",C195&lt;50, "40-49",C195&lt;60, "50-59",Table4[[#This Row],[Age]]&gt;=60, "60+"  )</f>
        <v>40-49</v>
      </c>
      <c r="E195" t="s">
        <v>10</v>
      </c>
      <c r="F195" t="b">
        <v>1</v>
      </c>
      <c r="G195" s="1">
        <v>38606</v>
      </c>
      <c r="H195">
        <v>22</v>
      </c>
      <c r="I195" s="5" t="str" cm="1">
        <f t="array" ref="I195">_xlfn.IFS(Table4[[#This Row],[Experience]]&lt;15, "7-15 YEARS",Table4[[#This Row],[Experience]]&lt;23, "15-23  YEARS",Table4[[#This Row],[Experience]]&lt;30, "23-30 YEARS",Table4[[#This Row],[Experience]]&gt;=30, "30+ YEARS")</f>
        <v>15-23  YEARS</v>
      </c>
      <c r="J195">
        <v>176397</v>
      </c>
      <c r="K195" s="5" t="str" cm="1">
        <f t="array" ref="K195">_xlfn.IFS(Table4[[#This Row],[Salary]]&lt;50000, "0-50K",Table4[[#This Row],[Salary]]&lt;100000, "50K-1L",Table4[[#This Row],[Salary]]&lt;150000, "1L-1.5L",Table4[[#This Row],[Salary]]&lt;200000, "1.5-2L",Table4[[#This Row],[Salary]]&gt;=200000, "2L+")</f>
        <v>1.5-2L</v>
      </c>
    </row>
    <row r="196" spans="1:11" x14ac:dyDescent="0.3">
      <c r="A196">
        <v>194</v>
      </c>
      <c r="B196">
        <v>5618</v>
      </c>
      <c r="C196">
        <v>58</v>
      </c>
      <c r="D196" s="5" t="str" cm="1">
        <f t="array" ref="D196">_xlfn.IFS(C196&lt;30, "20-29",C196&lt;40, "30-39",C196&lt;50, "40-49",C196&lt;60, "50-59",Table4[[#This Row],[Age]]&gt;=60, "60+"  )</f>
        <v>50-59</v>
      </c>
      <c r="E196" t="s">
        <v>12</v>
      </c>
      <c r="F196" t="b">
        <v>1</v>
      </c>
      <c r="G196" s="1">
        <v>33609</v>
      </c>
      <c r="H196">
        <v>31</v>
      </c>
      <c r="I196" s="5" t="str" cm="1">
        <f t="array" ref="I196">_xlfn.IFS(Table4[[#This Row],[Experience]]&lt;15, "7-15 YEARS",Table4[[#This Row],[Experience]]&lt;23, "15-23  YEARS",Table4[[#This Row],[Experience]]&lt;30, "23-30 YEARS",Table4[[#This Row],[Experience]]&gt;=30, "30+ YEARS")</f>
        <v>30+ YEARS</v>
      </c>
      <c r="J196">
        <v>250658</v>
      </c>
      <c r="K196" s="5" t="str" cm="1">
        <f t="array" ref="K196">_xlfn.IFS(Table4[[#This Row],[Salary]]&lt;50000, "0-50K",Table4[[#This Row],[Salary]]&lt;100000, "50K-1L",Table4[[#This Row],[Salary]]&lt;150000, "1L-1.5L",Table4[[#This Row],[Salary]]&lt;200000, "1.5-2L",Table4[[#This Row],[Salary]]&gt;=200000, "2L+")</f>
        <v>2L+</v>
      </c>
    </row>
    <row r="197" spans="1:11" x14ac:dyDescent="0.3">
      <c r="A197">
        <v>195</v>
      </c>
      <c r="B197">
        <v>2310</v>
      </c>
      <c r="C197">
        <v>47</v>
      </c>
      <c r="D197" s="5" t="str" cm="1">
        <f t="array" ref="D197">_xlfn.IFS(C197&lt;30, "20-29",C197&lt;40, "30-39",C197&lt;50, "40-49",C197&lt;60, "50-59",Table4[[#This Row],[Age]]&gt;=60, "60+"  )</f>
        <v>40-49</v>
      </c>
      <c r="E197" t="s">
        <v>11</v>
      </c>
      <c r="F197" t="b">
        <v>0</v>
      </c>
      <c r="G197" s="1">
        <v>29923</v>
      </c>
      <c r="H197">
        <v>22</v>
      </c>
      <c r="I197" s="5" t="str" cm="1">
        <f t="array" ref="I197">_xlfn.IFS(Table4[[#This Row],[Experience]]&lt;15, "7-15 YEARS",Table4[[#This Row],[Experience]]&lt;23, "15-23  YEARS",Table4[[#This Row],[Experience]]&lt;30, "23-30 YEARS",Table4[[#This Row],[Experience]]&gt;=30, "30+ YEARS")</f>
        <v>15-23  YEARS</v>
      </c>
      <c r="J197">
        <v>176752</v>
      </c>
      <c r="K197" s="5" t="str" cm="1">
        <f t="array" ref="K197">_xlfn.IFS(Table4[[#This Row],[Salary]]&lt;50000, "0-50K",Table4[[#This Row],[Salary]]&lt;100000, "50K-1L",Table4[[#This Row],[Salary]]&lt;150000, "1L-1.5L",Table4[[#This Row],[Salary]]&lt;200000, "1.5-2L",Table4[[#This Row],[Salary]]&gt;=200000, "2L+")</f>
        <v>1.5-2L</v>
      </c>
    </row>
    <row r="198" spans="1:11" x14ac:dyDescent="0.3">
      <c r="A198">
        <v>196</v>
      </c>
      <c r="B198">
        <v>9025</v>
      </c>
      <c r="C198">
        <v>32</v>
      </c>
      <c r="D198" s="5" t="str" cm="1">
        <f t="array" ref="D198">_xlfn.IFS(C198&lt;30, "20-29",C198&lt;40, "30-39",C198&lt;50, "40-49",C198&lt;60, "50-59",Table4[[#This Row],[Age]]&gt;=60, "60+"  )</f>
        <v>30-39</v>
      </c>
      <c r="E198" t="s">
        <v>10</v>
      </c>
      <c r="F198" t="b">
        <v>1</v>
      </c>
      <c r="G198" s="1">
        <v>41421</v>
      </c>
      <c r="H198">
        <v>15</v>
      </c>
      <c r="I198" s="5" t="str" cm="1">
        <f t="array" ref="I198">_xlfn.IFS(Table4[[#This Row],[Experience]]&lt;15, "7-15 YEARS",Table4[[#This Row],[Experience]]&lt;23, "15-23  YEARS",Table4[[#This Row],[Experience]]&lt;30, "23-30 YEARS",Table4[[#This Row],[Experience]]&gt;=30, "30+ YEARS")</f>
        <v>15-23  YEARS</v>
      </c>
      <c r="J198">
        <v>123319</v>
      </c>
      <c r="K198" s="5" t="str" cm="1">
        <f t="array" ref="K198">_xlfn.IFS(Table4[[#This Row],[Salary]]&lt;50000, "0-50K",Table4[[#This Row],[Salary]]&lt;100000, "50K-1L",Table4[[#This Row],[Salary]]&lt;150000, "1L-1.5L",Table4[[#This Row],[Salary]]&lt;200000, "1.5-2L",Table4[[#This Row],[Salary]]&gt;=200000, "2L+")</f>
        <v>1L-1.5L</v>
      </c>
    </row>
    <row r="199" spans="1:11" x14ac:dyDescent="0.3">
      <c r="A199">
        <v>197</v>
      </c>
      <c r="B199">
        <v>2227</v>
      </c>
      <c r="C199">
        <v>60</v>
      </c>
      <c r="D199" s="5" t="str" cm="1">
        <f t="array" ref="D199">_xlfn.IFS(C199&lt;30, "20-29",C199&lt;40, "30-39",C199&lt;50, "40-49",C199&lt;60, "50-59",Table4[[#This Row],[Age]]&gt;=60, "60+"  )</f>
        <v>60+</v>
      </c>
      <c r="E199" t="s">
        <v>10</v>
      </c>
      <c r="F199" t="b">
        <v>1</v>
      </c>
      <c r="G199" s="1">
        <v>44677</v>
      </c>
      <c r="H199">
        <v>32</v>
      </c>
      <c r="I199" s="5" t="str" cm="1">
        <f t="array" ref="I199">_xlfn.IFS(Table4[[#This Row],[Experience]]&lt;15, "7-15 YEARS",Table4[[#This Row],[Experience]]&lt;23, "15-23  YEARS",Table4[[#This Row],[Experience]]&lt;30, "23-30 YEARS",Table4[[#This Row],[Experience]]&gt;=30, "30+ YEARS")</f>
        <v>30+ YEARS</v>
      </c>
      <c r="J199">
        <v>258573</v>
      </c>
      <c r="K199" s="5" t="str" cm="1">
        <f t="array" ref="K199">_xlfn.IFS(Table4[[#This Row],[Salary]]&lt;50000, "0-50K",Table4[[#This Row],[Salary]]&lt;100000, "50K-1L",Table4[[#This Row],[Salary]]&lt;150000, "1L-1.5L",Table4[[#This Row],[Salary]]&lt;200000, "1.5-2L",Table4[[#This Row],[Salary]]&gt;=200000, "2L+")</f>
        <v>2L+</v>
      </c>
    </row>
    <row r="200" spans="1:11" x14ac:dyDescent="0.3">
      <c r="A200">
        <v>198</v>
      </c>
      <c r="B200">
        <v>2996</v>
      </c>
      <c r="C200">
        <v>42</v>
      </c>
      <c r="D200" s="5" t="str" cm="1">
        <f t="array" ref="D200">_xlfn.IFS(C200&lt;30, "20-29",C200&lt;40, "30-39",C200&lt;50, "40-49",C200&lt;60, "50-59",Table4[[#This Row],[Age]]&gt;=60, "60+"  )</f>
        <v>40-49</v>
      </c>
      <c r="E200" t="s">
        <v>8</v>
      </c>
      <c r="F200" t="b">
        <v>0</v>
      </c>
      <c r="G200" s="1">
        <v>29638</v>
      </c>
      <c r="H200">
        <v>19</v>
      </c>
      <c r="I200" s="5" t="str" cm="1">
        <f t="array" ref="I200">_xlfn.IFS(Table4[[#This Row],[Experience]]&lt;15, "7-15 YEARS",Table4[[#This Row],[Experience]]&lt;23, "15-23  YEARS",Table4[[#This Row],[Experience]]&lt;30, "23-30 YEARS",Table4[[#This Row],[Experience]]&gt;=30, "30+ YEARS")</f>
        <v>15-23  YEARS</v>
      </c>
      <c r="J200">
        <v>150946</v>
      </c>
      <c r="K200" s="5" t="str" cm="1">
        <f t="array" ref="K200">_xlfn.IFS(Table4[[#This Row],[Salary]]&lt;50000, "0-50K",Table4[[#This Row],[Salary]]&lt;100000, "50K-1L",Table4[[#This Row],[Salary]]&lt;150000, "1L-1.5L",Table4[[#This Row],[Salary]]&lt;200000, "1.5-2L",Table4[[#This Row],[Salary]]&gt;=200000, "2L+")</f>
        <v>1.5-2L</v>
      </c>
    </row>
    <row r="201" spans="1:11" x14ac:dyDescent="0.3">
      <c r="A201">
        <v>199</v>
      </c>
      <c r="B201">
        <v>3003</v>
      </c>
      <c r="C201">
        <v>25</v>
      </c>
      <c r="D201" s="5" t="str" cm="1">
        <f t="array" ref="D201">_xlfn.IFS(C201&lt;30, "20-29",C201&lt;40, "30-39",C201&lt;50, "40-49",C201&lt;60, "50-59",Table4[[#This Row],[Age]]&gt;=60, "60+"  )</f>
        <v>20-29</v>
      </c>
      <c r="E201" t="s">
        <v>11</v>
      </c>
      <c r="F201" t="b">
        <v>1</v>
      </c>
      <c r="G201" s="1">
        <v>45197</v>
      </c>
      <c r="H201">
        <v>14</v>
      </c>
      <c r="I201" s="5" t="str" cm="1">
        <f t="array" ref="I201">_xlfn.IFS(Table4[[#This Row],[Experience]]&lt;15, "7-15 YEARS",Table4[[#This Row],[Experience]]&lt;23, "15-23  YEARS",Table4[[#This Row],[Experience]]&lt;30, "23-30 YEARS",Table4[[#This Row],[Experience]]&gt;=30, "30+ YEARS")</f>
        <v>7-15 YEARS</v>
      </c>
      <c r="J201">
        <v>114361</v>
      </c>
      <c r="K201" s="5" t="str" cm="1">
        <f t="array" ref="K201">_xlfn.IFS(Table4[[#This Row],[Salary]]&lt;50000, "0-50K",Table4[[#This Row],[Salary]]&lt;100000, "50K-1L",Table4[[#This Row],[Salary]]&lt;150000, "1L-1.5L",Table4[[#This Row],[Salary]]&lt;200000, "1.5-2L",Table4[[#This Row],[Salary]]&gt;=200000, "2L+")</f>
        <v>1L-1.5L</v>
      </c>
    </row>
    <row r="202" spans="1:11" x14ac:dyDescent="0.3">
      <c r="A202">
        <v>200</v>
      </c>
      <c r="B202">
        <v>7608</v>
      </c>
      <c r="C202">
        <v>63</v>
      </c>
      <c r="D202" s="5" t="str" cm="1">
        <f t="array" ref="D202">_xlfn.IFS(C202&lt;30, "20-29",C202&lt;40, "30-39",C202&lt;50, "40-49",C202&lt;60, "50-59",Table4[[#This Row],[Age]]&gt;=60, "60+"  )</f>
        <v>60+</v>
      </c>
      <c r="E202" t="s">
        <v>12</v>
      </c>
      <c r="F202" t="b">
        <v>1</v>
      </c>
      <c r="G202" s="1">
        <v>32861</v>
      </c>
      <c r="H202">
        <v>32</v>
      </c>
      <c r="I202" s="5" t="str" cm="1">
        <f t="array" ref="I202">_xlfn.IFS(Table4[[#This Row],[Experience]]&lt;15, "7-15 YEARS",Table4[[#This Row],[Experience]]&lt;23, "15-23  YEARS",Table4[[#This Row],[Experience]]&lt;30, "23-30 YEARS",Table4[[#This Row],[Experience]]&gt;=30, "30+ YEARS")</f>
        <v>30+ YEARS</v>
      </c>
      <c r="J202">
        <v>257944</v>
      </c>
      <c r="K202" s="5" t="str" cm="1">
        <f t="array" ref="K202">_xlfn.IFS(Table4[[#This Row],[Salary]]&lt;50000, "0-50K",Table4[[#This Row],[Salary]]&lt;100000, "50K-1L",Table4[[#This Row],[Salary]]&lt;150000, "1L-1.5L",Table4[[#This Row],[Salary]]&lt;200000, "1.5-2L",Table4[[#This Row],[Salary]]&gt;=200000, "2L+")</f>
        <v>2L+</v>
      </c>
    </row>
    <row r="203" spans="1:11" x14ac:dyDescent="0.3">
      <c r="A203">
        <v>201</v>
      </c>
      <c r="B203">
        <v>1121</v>
      </c>
      <c r="C203">
        <v>22</v>
      </c>
      <c r="D203" s="5" t="str" cm="1">
        <f t="array" ref="D203">_xlfn.IFS(C203&lt;30, "20-29",C203&lt;40, "30-39",C203&lt;50, "40-49",C203&lt;60, "50-59",Table4[[#This Row],[Age]]&gt;=60, "60+"  )</f>
        <v>20-29</v>
      </c>
      <c r="E203" t="s">
        <v>12</v>
      </c>
      <c r="F203" t="b">
        <v>0</v>
      </c>
      <c r="G203" s="1">
        <v>30530</v>
      </c>
      <c r="H203">
        <v>12</v>
      </c>
      <c r="I203" s="5" t="str" cm="1">
        <f t="array" ref="I203">_xlfn.IFS(Table4[[#This Row],[Experience]]&lt;15, "7-15 YEARS",Table4[[#This Row],[Experience]]&lt;23, "15-23  YEARS",Table4[[#This Row],[Experience]]&lt;30, "23-30 YEARS",Table4[[#This Row],[Experience]]&gt;=30, "30+ YEARS")</f>
        <v>7-15 YEARS</v>
      </c>
      <c r="J203">
        <v>91127</v>
      </c>
      <c r="K203" s="5" t="str" cm="1">
        <f t="array" ref="K203">_xlfn.IFS(Table4[[#This Row],[Salary]]&lt;50000, "0-50K",Table4[[#This Row],[Salary]]&lt;100000, "50K-1L",Table4[[#This Row],[Salary]]&lt;150000, "1L-1.5L",Table4[[#This Row],[Salary]]&lt;200000, "1.5-2L",Table4[[#This Row],[Salary]]&gt;=200000, "2L+")</f>
        <v>50K-1L</v>
      </c>
    </row>
    <row r="204" spans="1:11" x14ac:dyDescent="0.3">
      <c r="A204">
        <v>202</v>
      </c>
      <c r="B204">
        <v>1838</v>
      </c>
      <c r="C204">
        <v>64</v>
      </c>
      <c r="D204" s="5" t="str" cm="1">
        <f t="array" ref="D204">_xlfn.IFS(C204&lt;30, "20-29",C204&lt;40, "30-39",C204&lt;50, "40-49",C204&lt;60, "50-59",Table4[[#This Row],[Age]]&gt;=60, "60+"  )</f>
        <v>60+</v>
      </c>
      <c r="E204" t="s">
        <v>11</v>
      </c>
      <c r="F204" t="b">
        <v>1</v>
      </c>
      <c r="G204" s="1">
        <v>41632</v>
      </c>
      <c r="H204">
        <v>34</v>
      </c>
      <c r="I204" s="5" t="str" cm="1">
        <f t="array" ref="I204">_xlfn.IFS(Table4[[#This Row],[Experience]]&lt;15, "7-15 YEARS",Table4[[#This Row],[Experience]]&lt;23, "15-23  YEARS",Table4[[#This Row],[Experience]]&lt;30, "23-30 YEARS",Table4[[#This Row],[Experience]]&gt;=30, "30+ YEARS")</f>
        <v>30+ YEARS</v>
      </c>
      <c r="J204">
        <v>273400</v>
      </c>
      <c r="K204" s="5" t="str" cm="1">
        <f t="array" ref="K204">_xlfn.IFS(Table4[[#This Row],[Salary]]&lt;50000, "0-50K",Table4[[#This Row],[Salary]]&lt;100000, "50K-1L",Table4[[#This Row],[Salary]]&lt;150000, "1L-1.5L",Table4[[#This Row],[Salary]]&lt;200000, "1.5-2L",Table4[[#This Row],[Salary]]&gt;=200000, "2L+")</f>
        <v>2L+</v>
      </c>
    </row>
    <row r="205" spans="1:11" x14ac:dyDescent="0.3">
      <c r="A205">
        <v>203</v>
      </c>
      <c r="B205">
        <v>6586</v>
      </c>
      <c r="C205">
        <v>46</v>
      </c>
      <c r="D205" s="5" t="str" cm="1">
        <f t="array" ref="D205">_xlfn.IFS(C205&lt;30, "20-29",C205&lt;40, "30-39",C205&lt;50, "40-49",C205&lt;60, "50-59",Table4[[#This Row],[Age]]&gt;=60, "60+"  )</f>
        <v>40-49</v>
      </c>
      <c r="E205" t="s">
        <v>11</v>
      </c>
      <c r="F205" t="b">
        <v>1</v>
      </c>
      <c r="G205" s="1">
        <v>26853</v>
      </c>
      <c r="H205">
        <v>25</v>
      </c>
      <c r="I205" s="5" t="str" cm="1">
        <f t="array" ref="I205">_xlfn.IFS(Table4[[#This Row],[Experience]]&lt;15, "7-15 YEARS",Table4[[#This Row],[Experience]]&lt;23, "15-23  YEARS",Table4[[#This Row],[Experience]]&lt;30, "23-30 YEARS",Table4[[#This Row],[Experience]]&gt;=30, "30+ YEARS")</f>
        <v>23-30 YEARS</v>
      </c>
      <c r="J205">
        <v>196459</v>
      </c>
      <c r="K205" s="5" t="str" cm="1">
        <f t="array" ref="K205">_xlfn.IFS(Table4[[#This Row],[Salary]]&lt;50000, "0-50K",Table4[[#This Row],[Salary]]&lt;100000, "50K-1L",Table4[[#This Row],[Salary]]&lt;150000, "1L-1.5L",Table4[[#This Row],[Salary]]&lt;200000, "1.5-2L",Table4[[#This Row],[Salary]]&gt;=200000, "2L+")</f>
        <v>1.5-2L</v>
      </c>
    </row>
    <row r="206" spans="1:11" x14ac:dyDescent="0.3">
      <c r="A206">
        <v>204</v>
      </c>
      <c r="B206">
        <v>4148</v>
      </c>
      <c r="C206">
        <v>34</v>
      </c>
      <c r="D206" s="5" t="str" cm="1">
        <f t="array" ref="D206">_xlfn.IFS(C206&lt;30, "20-29",C206&lt;40, "30-39",C206&lt;50, "40-49",C206&lt;60, "50-59",Table4[[#This Row],[Age]]&gt;=60, "60+"  )</f>
        <v>30-39</v>
      </c>
      <c r="E206" t="s">
        <v>10</v>
      </c>
      <c r="F206" t="b">
        <v>0</v>
      </c>
      <c r="G206" s="1">
        <v>41953</v>
      </c>
      <c r="H206">
        <v>18</v>
      </c>
      <c r="I206" s="5" t="str" cm="1">
        <f t="array" ref="I206">_xlfn.IFS(Table4[[#This Row],[Experience]]&lt;15, "7-15 YEARS",Table4[[#This Row],[Experience]]&lt;23, "15-23  YEARS",Table4[[#This Row],[Experience]]&lt;30, "23-30 YEARS",Table4[[#This Row],[Experience]]&gt;=30, "30+ YEARS")</f>
        <v>15-23  YEARS</v>
      </c>
      <c r="J206">
        <v>132705</v>
      </c>
      <c r="K206" s="5" t="str" cm="1">
        <f t="array" ref="K206">_xlfn.IFS(Table4[[#This Row],[Salary]]&lt;50000, "0-50K",Table4[[#This Row],[Salary]]&lt;100000, "50K-1L",Table4[[#This Row],[Salary]]&lt;150000, "1L-1.5L",Table4[[#This Row],[Salary]]&lt;200000, "1.5-2L",Table4[[#This Row],[Salary]]&gt;=200000, "2L+")</f>
        <v>1L-1.5L</v>
      </c>
    </row>
    <row r="207" spans="1:11" x14ac:dyDescent="0.3">
      <c r="A207">
        <v>205</v>
      </c>
      <c r="B207">
        <v>6227</v>
      </c>
      <c r="C207">
        <v>61</v>
      </c>
      <c r="D207" s="5" t="str" cm="1">
        <f t="array" ref="D207">_xlfn.IFS(C207&lt;30, "20-29",C207&lt;40, "30-39",C207&lt;50, "40-49",C207&lt;60, "50-59",Table4[[#This Row],[Age]]&gt;=60, "60+"  )</f>
        <v>60+</v>
      </c>
      <c r="E207" t="s">
        <v>9</v>
      </c>
      <c r="F207" t="b">
        <v>1</v>
      </c>
      <c r="G207" s="1">
        <v>38513</v>
      </c>
      <c r="H207">
        <v>24</v>
      </c>
      <c r="I207" s="5" t="str" cm="1">
        <f t="array" ref="I207">_xlfn.IFS(Table4[[#This Row],[Experience]]&lt;15, "7-15 YEARS",Table4[[#This Row],[Experience]]&lt;23, "15-23  YEARS",Table4[[#This Row],[Experience]]&lt;30, "23-30 YEARS",Table4[[#This Row],[Experience]]&gt;=30, "30+ YEARS")</f>
        <v>23-30 YEARS</v>
      </c>
      <c r="J207">
        <v>192494</v>
      </c>
      <c r="K207" s="5" t="str" cm="1">
        <f t="array" ref="K207">_xlfn.IFS(Table4[[#This Row],[Salary]]&lt;50000, "0-50K",Table4[[#This Row],[Salary]]&lt;100000, "50K-1L",Table4[[#This Row],[Salary]]&lt;150000, "1L-1.5L",Table4[[#This Row],[Salary]]&lt;200000, "1.5-2L",Table4[[#This Row],[Salary]]&gt;=200000, "2L+")</f>
        <v>1.5-2L</v>
      </c>
    </row>
    <row r="208" spans="1:11" x14ac:dyDescent="0.3">
      <c r="A208">
        <v>206</v>
      </c>
      <c r="B208">
        <v>6663</v>
      </c>
      <c r="C208">
        <v>38</v>
      </c>
      <c r="D208" s="5" t="str" cm="1">
        <f t="array" ref="D208">_xlfn.IFS(C208&lt;30, "20-29",C208&lt;40, "30-39",C208&lt;50, "40-49",C208&lt;60, "50-59",Table4[[#This Row],[Age]]&gt;=60, "60+"  )</f>
        <v>30-39</v>
      </c>
      <c r="E208" t="s">
        <v>10</v>
      </c>
      <c r="F208" t="b">
        <v>1</v>
      </c>
      <c r="G208" s="1">
        <v>33525</v>
      </c>
      <c r="H208">
        <v>21</v>
      </c>
      <c r="I208" s="5" t="str" cm="1">
        <f t="array" ref="I208">_xlfn.IFS(Table4[[#This Row],[Experience]]&lt;15, "7-15 YEARS",Table4[[#This Row],[Experience]]&lt;23, "15-23  YEARS",Table4[[#This Row],[Experience]]&lt;30, "23-30 YEARS",Table4[[#This Row],[Experience]]&gt;=30, "30+ YEARS")</f>
        <v>15-23  YEARS</v>
      </c>
      <c r="J208">
        <v>164835</v>
      </c>
      <c r="K208" s="5" t="str" cm="1">
        <f t="array" ref="K208">_xlfn.IFS(Table4[[#This Row],[Salary]]&lt;50000, "0-50K",Table4[[#This Row],[Salary]]&lt;100000, "50K-1L",Table4[[#This Row],[Salary]]&lt;150000, "1L-1.5L",Table4[[#This Row],[Salary]]&lt;200000, "1.5-2L",Table4[[#This Row],[Salary]]&gt;=200000, "2L+")</f>
        <v>1.5-2L</v>
      </c>
    </row>
    <row r="209" spans="1:11" x14ac:dyDescent="0.3">
      <c r="A209">
        <v>207</v>
      </c>
      <c r="B209">
        <v>9650</v>
      </c>
      <c r="C209">
        <v>33</v>
      </c>
      <c r="D209" s="5" t="str" cm="1">
        <f t="array" ref="D209">_xlfn.IFS(C209&lt;30, "20-29",C209&lt;40, "30-39",C209&lt;50, "40-49",C209&lt;60, "50-59",Table4[[#This Row],[Age]]&gt;=60, "60+"  )</f>
        <v>30-39</v>
      </c>
      <c r="E209" t="s">
        <v>8</v>
      </c>
      <c r="F209" t="b">
        <v>0</v>
      </c>
      <c r="G209" s="1">
        <v>28085</v>
      </c>
      <c r="H209">
        <v>15</v>
      </c>
      <c r="I209" s="5" t="str" cm="1">
        <f t="array" ref="I209">_xlfn.IFS(Table4[[#This Row],[Experience]]&lt;15, "7-15 YEARS",Table4[[#This Row],[Experience]]&lt;23, "15-23  YEARS",Table4[[#This Row],[Experience]]&lt;30, "23-30 YEARS",Table4[[#This Row],[Experience]]&gt;=30, "30+ YEARS")</f>
        <v>15-23  YEARS</v>
      </c>
      <c r="J209">
        <v>126137</v>
      </c>
      <c r="K209" s="5" t="str" cm="1">
        <f t="array" ref="K209">_xlfn.IFS(Table4[[#This Row],[Salary]]&lt;50000, "0-50K",Table4[[#This Row],[Salary]]&lt;100000, "50K-1L",Table4[[#This Row],[Salary]]&lt;150000, "1L-1.5L",Table4[[#This Row],[Salary]]&lt;200000, "1.5-2L",Table4[[#This Row],[Salary]]&gt;=200000, "2L+")</f>
        <v>1L-1.5L</v>
      </c>
    </row>
    <row r="210" spans="1:11" x14ac:dyDescent="0.3">
      <c r="A210">
        <v>208</v>
      </c>
      <c r="B210">
        <v>6929</v>
      </c>
      <c r="C210">
        <v>51</v>
      </c>
      <c r="D210" s="5" t="str" cm="1">
        <f t="array" ref="D210">_xlfn.IFS(C210&lt;30, "20-29",C210&lt;40, "30-39",C210&lt;50, "40-49",C210&lt;60, "50-59",Table4[[#This Row],[Age]]&gt;=60, "60+"  )</f>
        <v>50-59</v>
      </c>
      <c r="E210" t="s">
        <v>11</v>
      </c>
      <c r="F210" t="b">
        <v>1</v>
      </c>
      <c r="G210" s="1">
        <v>28165</v>
      </c>
      <c r="H210">
        <v>25</v>
      </c>
      <c r="I210" s="5" t="str" cm="1">
        <f t="array" ref="I210">_xlfn.IFS(Table4[[#This Row],[Experience]]&lt;15, "7-15 YEARS",Table4[[#This Row],[Experience]]&lt;23, "15-23  YEARS",Table4[[#This Row],[Experience]]&lt;30, "23-30 YEARS",Table4[[#This Row],[Experience]]&gt;=30, "30+ YEARS")</f>
        <v>23-30 YEARS</v>
      </c>
      <c r="J210">
        <v>200225</v>
      </c>
      <c r="K210" s="5" t="str" cm="1">
        <f t="array" ref="K210">_xlfn.IFS(Table4[[#This Row],[Salary]]&lt;50000, "0-50K",Table4[[#This Row],[Salary]]&lt;100000, "50K-1L",Table4[[#This Row],[Salary]]&lt;150000, "1L-1.5L",Table4[[#This Row],[Salary]]&lt;200000, "1.5-2L",Table4[[#This Row],[Salary]]&gt;=200000, "2L+")</f>
        <v>2L+</v>
      </c>
    </row>
    <row r="211" spans="1:11" x14ac:dyDescent="0.3">
      <c r="A211">
        <v>209</v>
      </c>
      <c r="B211">
        <v>2863</v>
      </c>
      <c r="C211">
        <v>46</v>
      </c>
      <c r="D211" s="5" t="str" cm="1">
        <f t="array" ref="D211">_xlfn.IFS(C211&lt;30, "20-29",C211&lt;40, "30-39",C211&lt;50, "40-49",C211&lt;60, "50-59",Table4[[#This Row],[Age]]&gt;=60, "60+"  )</f>
        <v>40-49</v>
      </c>
      <c r="E211" t="s">
        <v>8</v>
      </c>
      <c r="F211" t="b">
        <v>0</v>
      </c>
      <c r="G211" s="1">
        <v>39857</v>
      </c>
      <c r="H211">
        <v>25</v>
      </c>
      <c r="I211" s="5" t="str" cm="1">
        <f t="array" ref="I211">_xlfn.IFS(Table4[[#This Row],[Experience]]&lt;15, "7-15 YEARS",Table4[[#This Row],[Experience]]&lt;23, "15-23  YEARS",Table4[[#This Row],[Experience]]&lt;30, "23-30 YEARS",Table4[[#This Row],[Experience]]&gt;=30, "30+ YEARS")</f>
        <v>23-30 YEARS</v>
      </c>
      <c r="J211">
        <v>195891</v>
      </c>
      <c r="K211" s="5" t="str" cm="1">
        <f t="array" ref="K211">_xlfn.IFS(Table4[[#This Row],[Salary]]&lt;50000, "0-50K",Table4[[#This Row],[Salary]]&lt;100000, "50K-1L",Table4[[#This Row],[Salary]]&lt;150000, "1L-1.5L",Table4[[#This Row],[Salary]]&lt;200000, "1.5-2L",Table4[[#This Row],[Salary]]&gt;=200000, "2L+")</f>
        <v>1.5-2L</v>
      </c>
    </row>
    <row r="212" spans="1:11" x14ac:dyDescent="0.3">
      <c r="A212">
        <v>210</v>
      </c>
      <c r="B212">
        <v>8673</v>
      </c>
      <c r="C212">
        <v>44</v>
      </c>
      <c r="D212" s="5" t="str" cm="1">
        <f t="array" ref="D212">_xlfn.IFS(C212&lt;30, "20-29",C212&lt;40, "30-39",C212&lt;50, "40-49",C212&lt;60, "50-59",Table4[[#This Row],[Age]]&gt;=60, "60+"  )</f>
        <v>40-49</v>
      </c>
      <c r="E212" t="s">
        <v>10</v>
      </c>
      <c r="F212" t="b">
        <v>1</v>
      </c>
      <c r="G212" s="1">
        <v>45093</v>
      </c>
      <c r="H212">
        <v>20</v>
      </c>
      <c r="I212" s="5" t="str" cm="1">
        <f t="array" ref="I212">_xlfn.IFS(Table4[[#This Row],[Experience]]&lt;15, "7-15 YEARS",Table4[[#This Row],[Experience]]&lt;23, "15-23  YEARS",Table4[[#This Row],[Experience]]&lt;30, "23-30 YEARS",Table4[[#This Row],[Experience]]&gt;=30, "30+ YEARS")</f>
        <v>15-23  YEARS</v>
      </c>
      <c r="J212">
        <v>156207</v>
      </c>
      <c r="K212" s="5" t="str" cm="1">
        <f t="array" ref="K212">_xlfn.IFS(Table4[[#This Row],[Salary]]&lt;50000, "0-50K",Table4[[#This Row],[Salary]]&lt;100000, "50K-1L",Table4[[#This Row],[Salary]]&lt;150000, "1L-1.5L",Table4[[#This Row],[Salary]]&lt;200000, "1.5-2L",Table4[[#This Row],[Salary]]&gt;=200000, "2L+")</f>
        <v>1.5-2L</v>
      </c>
    </row>
    <row r="213" spans="1:11" x14ac:dyDescent="0.3">
      <c r="A213">
        <v>211</v>
      </c>
      <c r="B213">
        <v>2820</v>
      </c>
      <c r="C213">
        <v>28</v>
      </c>
      <c r="D213" s="5" t="str" cm="1">
        <f t="array" ref="D213">_xlfn.IFS(C213&lt;30, "20-29",C213&lt;40, "30-39",C213&lt;50, "40-49",C213&lt;60, "50-59",Table4[[#This Row],[Age]]&gt;=60, "60+"  )</f>
        <v>20-29</v>
      </c>
      <c r="E213" t="s">
        <v>8</v>
      </c>
      <c r="F213" t="b">
        <v>1</v>
      </c>
      <c r="G213" s="1">
        <v>43218</v>
      </c>
      <c r="H213">
        <v>18</v>
      </c>
      <c r="I213" s="5" t="str" cm="1">
        <f t="array" ref="I213">_xlfn.IFS(Table4[[#This Row],[Experience]]&lt;15, "7-15 YEARS",Table4[[#This Row],[Experience]]&lt;23, "15-23  YEARS",Table4[[#This Row],[Experience]]&lt;30, "23-30 YEARS",Table4[[#This Row],[Experience]]&gt;=30, "30+ YEARS")</f>
        <v>15-23  YEARS</v>
      </c>
      <c r="J213">
        <v>135734</v>
      </c>
      <c r="K213" s="5" t="str" cm="1">
        <f t="array" ref="K213">_xlfn.IFS(Table4[[#This Row],[Salary]]&lt;50000, "0-50K",Table4[[#This Row],[Salary]]&lt;100000, "50K-1L",Table4[[#This Row],[Salary]]&lt;150000, "1L-1.5L",Table4[[#This Row],[Salary]]&lt;200000, "1.5-2L",Table4[[#This Row],[Salary]]&gt;=200000, "2L+")</f>
        <v>1L-1.5L</v>
      </c>
    </row>
    <row r="214" spans="1:11" x14ac:dyDescent="0.3">
      <c r="A214">
        <v>212</v>
      </c>
      <c r="B214">
        <v>6260</v>
      </c>
      <c r="C214">
        <v>23</v>
      </c>
      <c r="D214" s="5" t="str" cm="1">
        <f t="array" ref="D214">_xlfn.IFS(C214&lt;30, "20-29",C214&lt;40, "30-39",C214&lt;50, "40-49",C214&lt;60, "50-59",Table4[[#This Row],[Age]]&gt;=60, "60+"  )</f>
        <v>20-29</v>
      </c>
      <c r="E214" t="s">
        <v>9</v>
      </c>
      <c r="F214" t="b">
        <v>0</v>
      </c>
      <c r="G214" s="1">
        <v>45367</v>
      </c>
      <c r="H214">
        <v>14</v>
      </c>
      <c r="I214" s="5" t="str" cm="1">
        <f t="array" ref="I214">_xlfn.IFS(Table4[[#This Row],[Experience]]&lt;15, "7-15 YEARS",Table4[[#This Row],[Experience]]&lt;23, "15-23  YEARS",Table4[[#This Row],[Experience]]&lt;30, "23-30 YEARS",Table4[[#This Row],[Experience]]&gt;=30, "30+ YEARS")</f>
        <v>7-15 YEARS</v>
      </c>
      <c r="J214">
        <v>109179</v>
      </c>
      <c r="K214" s="5" t="str" cm="1">
        <f t="array" ref="K214">_xlfn.IFS(Table4[[#This Row],[Salary]]&lt;50000, "0-50K",Table4[[#This Row],[Salary]]&lt;100000, "50K-1L",Table4[[#This Row],[Salary]]&lt;150000, "1L-1.5L",Table4[[#This Row],[Salary]]&lt;200000, "1.5-2L",Table4[[#This Row],[Salary]]&gt;=200000, "2L+")</f>
        <v>1L-1.5L</v>
      </c>
    </row>
    <row r="215" spans="1:11" x14ac:dyDescent="0.3">
      <c r="A215">
        <v>213</v>
      </c>
      <c r="B215">
        <v>5238</v>
      </c>
      <c r="C215">
        <v>48</v>
      </c>
      <c r="D215" s="5" t="str" cm="1">
        <f t="array" ref="D215">_xlfn.IFS(C215&lt;30, "20-29",C215&lt;40, "30-39",C215&lt;50, "40-49",C215&lt;60, "50-59",Table4[[#This Row],[Age]]&gt;=60, "60+"  )</f>
        <v>40-49</v>
      </c>
      <c r="E215" t="s">
        <v>9</v>
      </c>
      <c r="F215" t="b">
        <v>0</v>
      </c>
      <c r="G215" s="1">
        <v>36243</v>
      </c>
      <c r="H215">
        <v>25</v>
      </c>
      <c r="I215" s="5" t="str" cm="1">
        <f t="array" ref="I215">_xlfn.IFS(Table4[[#This Row],[Experience]]&lt;15, "7-15 YEARS",Table4[[#This Row],[Experience]]&lt;23, "15-23  YEARS",Table4[[#This Row],[Experience]]&lt;30, "23-30 YEARS",Table4[[#This Row],[Experience]]&gt;=30, "30+ YEARS")</f>
        <v>23-30 YEARS</v>
      </c>
      <c r="J215">
        <v>197005</v>
      </c>
      <c r="K215" s="5" t="str" cm="1">
        <f t="array" ref="K215">_xlfn.IFS(Table4[[#This Row],[Salary]]&lt;50000, "0-50K",Table4[[#This Row],[Salary]]&lt;100000, "50K-1L",Table4[[#This Row],[Salary]]&lt;150000, "1L-1.5L",Table4[[#This Row],[Salary]]&lt;200000, "1.5-2L",Table4[[#This Row],[Salary]]&gt;=200000, "2L+")</f>
        <v>1.5-2L</v>
      </c>
    </row>
    <row r="216" spans="1:11" x14ac:dyDescent="0.3">
      <c r="A216">
        <v>214</v>
      </c>
      <c r="B216">
        <v>1284</v>
      </c>
      <c r="C216">
        <v>28</v>
      </c>
      <c r="D216" s="5" t="str" cm="1">
        <f t="array" ref="D216">_xlfn.IFS(C216&lt;30, "20-29",C216&lt;40, "30-39",C216&lt;50, "40-49",C216&lt;60, "50-59",Table4[[#This Row],[Age]]&gt;=60, "60+"  )</f>
        <v>20-29</v>
      </c>
      <c r="E216" t="s">
        <v>9</v>
      </c>
      <c r="F216" t="b">
        <v>0</v>
      </c>
      <c r="G216" s="1">
        <v>45069</v>
      </c>
      <c r="H216">
        <v>13</v>
      </c>
      <c r="I216" s="5" t="str" cm="1">
        <f t="array" ref="I216">_xlfn.IFS(Table4[[#This Row],[Experience]]&lt;15, "7-15 YEARS",Table4[[#This Row],[Experience]]&lt;23, "15-23  YEARS",Table4[[#This Row],[Experience]]&lt;30, "23-30 YEARS",Table4[[#This Row],[Experience]]&gt;=30, "30+ YEARS")</f>
        <v>7-15 YEARS</v>
      </c>
      <c r="J216">
        <v>89207</v>
      </c>
      <c r="K216" s="5" t="str" cm="1">
        <f t="array" ref="K216">_xlfn.IFS(Table4[[#This Row],[Salary]]&lt;50000, "0-50K",Table4[[#This Row],[Salary]]&lt;100000, "50K-1L",Table4[[#This Row],[Salary]]&lt;150000, "1L-1.5L",Table4[[#This Row],[Salary]]&lt;200000, "1.5-2L",Table4[[#This Row],[Salary]]&gt;=200000, "2L+")</f>
        <v>50K-1L</v>
      </c>
    </row>
    <row r="217" spans="1:11" x14ac:dyDescent="0.3">
      <c r="A217">
        <v>215</v>
      </c>
      <c r="B217">
        <v>3247</v>
      </c>
      <c r="C217">
        <v>34</v>
      </c>
      <c r="D217" s="5" t="str" cm="1">
        <f t="array" ref="D217">_xlfn.IFS(C217&lt;30, "20-29",C217&lt;40, "30-39",C217&lt;50, "40-49",C217&lt;60, "50-59",Table4[[#This Row],[Age]]&gt;=60, "60+"  )</f>
        <v>30-39</v>
      </c>
      <c r="E217" t="s">
        <v>8</v>
      </c>
      <c r="F217" t="b">
        <v>1</v>
      </c>
      <c r="G217" s="1">
        <v>29549</v>
      </c>
      <c r="H217">
        <v>16</v>
      </c>
      <c r="I217" s="5" t="str" cm="1">
        <f t="array" ref="I217">_xlfn.IFS(Table4[[#This Row],[Experience]]&lt;15, "7-15 YEARS",Table4[[#This Row],[Experience]]&lt;23, "15-23  YEARS",Table4[[#This Row],[Experience]]&lt;30, "23-30 YEARS",Table4[[#This Row],[Experience]]&gt;=30, "30+ YEARS")</f>
        <v>15-23  YEARS</v>
      </c>
      <c r="J217">
        <v>138009</v>
      </c>
      <c r="K217" s="5" t="str" cm="1">
        <f t="array" ref="K217">_xlfn.IFS(Table4[[#This Row],[Salary]]&lt;50000, "0-50K",Table4[[#This Row],[Salary]]&lt;100000, "50K-1L",Table4[[#This Row],[Salary]]&lt;150000, "1L-1.5L",Table4[[#This Row],[Salary]]&lt;200000, "1.5-2L",Table4[[#This Row],[Salary]]&gt;=200000, "2L+")</f>
        <v>1L-1.5L</v>
      </c>
    </row>
    <row r="218" spans="1:11" x14ac:dyDescent="0.3">
      <c r="A218">
        <v>216</v>
      </c>
      <c r="B218">
        <v>1541</v>
      </c>
      <c r="C218">
        <v>62</v>
      </c>
      <c r="D218" s="5" t="str" cm="1">
        <f t="array" ref="D218">_xlfn.IFS(C218&lt;30, "20-29",C218&lt;40, "30-39",C218&lt;50, "40-49",C218&lt;60, "50-59",Table4[[#This Row],[Age]]&gt;=60, "60+"  )</f>
        <v>60+</v>
      </c>
      <c r="E218" t="s">
        <v>12</v>
      </c>
      <c r="F218" t="b">
        <v>1</v>
      </c>
      <c r="G218" s="1">
        <v>38322</v>
      </c>
      <c r="H218">
        <v>28</v>
      </c>
      <c r="I218" s="5" t="str" cm="1">
        <f t="array" ref="I218">_xlfn.IFS(Table4[[#This Row],[Experience]]&lt;15, "7-15 YEARS",Table4[[#This Row],[Experience]]&lt;23, "15-23  YEARS",Table4[[#This Row],[Experience]]&lt;30, "23-30 YEARS",Table4[[#This Row],[Experience]]&gt;=30, "30+ YEARS")</f>
        <v>23-30 YEARS</v>
      </c>
      <c r="J218">
        <v>233480</v>
      </c>
      <c r="K218" s="5" t="str" cm="1">
        <f t="array" ref="K218">_xlfn.IFS(Table4[[#This Row],[Salary]]&lt;50000, "0-50K",Table4[[#This Row],[Salary]]&lt;100000, "50K-1L",Table4[[#This Row],[Salary]]&lt;150000, "1L-1.5L",Table4[[#This Row],[Salary]]&lt;200000, "1.5-2L",Table4[[#This Row],[Salary]]&gt;=200000, "2L+")</f>
        <v>2L+</v>
      </c>
    </row>
    <row r="219" spans="1:11" x14ac:dyDescent="0.3">
      <c r="A219">
        <v>217</v>
      </c>
      <c r="B219">
        <v>5004</v>
      </c>
      <c r="C219">
        <v>57</v>
      </c>
      <c r="D219" s="5" t="str" cm="1">
        <f t="array" ref="D219">_xlfn.IFS(C219&lt;30, "20-29",C219&lt;40, "30-39",C219&lt;50, "40-49",C219&lt;60, "50-59",Table4[[#This Row],[Age]]&gt;=60, "60+"  )</f>
        <v>50-59</v>
      </c>
      <c r="E219" t="s">
        <v>8</v>
      </c>
      <c r="F219" t="b">
        <v>1</v>
      </c>
      <c r="G219" s="1">
        <v>41768</v>
      </c>
      <c r="H219">
        <v>26</v>
      </c>
      <c r="I219" s="5" t="str" cm="1">
        <f t="array" ref="I219">_xlfn.IFS(Table4[[#This Row],[Experience]]&lt;15, "7-15 YEARS",Table4[[#This Row],[Experience]]&lt;23, "15-23  YEARS",Table4[[#This Row],[Experience]]&lt;30, "23-30 YEARS",Table4[[#This Row],[Experience]]&gt;=30, "30+ YEARS")</f>
        <v>23-30 YEARS</v>
      </c>
      <c r="J219">
        <v>206244</v>
      </c>
      <c r="K219" s="5" t="str" cm="1">
        <f t="array" ref="K219">_xlfn.IFS(Table4[[#This Row],[Salary]]&lt;50000, "0-50K",Table4[[#This Row],[Salary]]&lt;100000, "50K-1L",Table4[[#This Row],[Salary]]&lt;150000, "1L-1.5L",Table4[[#This Row],[Salary]]&lt;200000, "1.5-2L",Table4[[#This Row],[Salary]]&gt;=200000, "2L+")</f>
        <v>2L+</v>
      </c>
    </row>
    <row r="220" spans="1:11" x14ac:dyDescent="0.3">
      <c r="A220">
        <v>218</v>
      </c>
      <c r="B220">
        <v>2696</v>
      </c>
      <c r="C220">
        <v>56</v>
      </c>
      <c r="D220" s="5" t="str" cm="1">
        <f t="array" ref="D220">_xlfn.IFS(C220&lt;30, "20-29",C220&lt;40, "30-39",C220&lt;50, "40-49",C220&lt;60, "50-59",Table4[[#This Row],[Age]]&gt;=60, "60+"  )</f>
        <v>50-59</v>
      </c>
      <c r="E220" t="s">
        <v>8</v>
      </c>
      <c r="F220" t="b">
        <v>1</v>
      </c>
      <c r="G220" s="1">
        <v>36177</v>
      </c>
      <c r="H220">
        <v>26</v>
      </c>
      <c r="I220" s="5" t="str" cm="1">
        <f t="array" ref="I220">_xlfn.IFS(Table4[[#This Row],[Experience]]&lt;15, "7-15 YEARS",Table4[[#This Row],[Experience]]&lt;23, "15-23  YEARS",Table4[[#This Row],[Experience]]&lt;30, "23-30 YEARS",Table4[[#This Row],[Experience]]&gt;=30, "30+ YEARS")</f>
        <v>23-30 YEARS</v>
      </c>
      <c r="J220">
        <v>207865</v>
      </c>
      <c r="K220" s="5" t="str" cm="1">
        <f t="array" ref="K220">_xlfn.IFS(Table4[[#This Row],[Salary]]&lt;50000, "0-50K",Table4[[#This Row],[Salary]]&lt;100000, "50K-1L",Table4[[#This Row],[Salary]]&lt;150000, "1L-1.5L",Table4[[#This Row],[Salary]]&lt;200000, "1.5-2L",Table4[[#This Row],[Salary]]&gt;=200000, "2L+")</f>
        <v>2L+</v>
      </c>
    </row>
    <row r="221" spans="1:11" x14ac:dyDescent="0.3">
      <c r="A221">
        <v>219</v>
      </c>
      <c r="B221">
        <v>6407</v>
      </c>
      <c r="C221">
        <v>43</v>
      </c>
      <c r="D221" s="5" t="str" cm="1">
        <f t="array" ref="D221">_xlfn.IFS(C221&lt;30, "20-29",C221&lt;40, "30-39",C221&lt;50, "40-49",C221&lt;60, "50-59",Table4[[#This Row],[Age]]&gt;=60, "60+"  )</f>
        <v>40-49</v>
      </c>
      <c r="E221" t="s">
        <v>12</v>
      </c>
      <c r="F221" t="b">
        <v>1</v>
      </c>
      <c r="G221" s="1">
        <v>28689</v>
      </c>
      <c r="H221">
        <v>21</v>
      </c>
      <c r="I221" s="5" t="str" cm="1">
        <f t="array" ref="I221">_xlfn.IFS(Table4[[#This Row],[Experience]]&lt;15, "7-15 YEARS",Table4[[#This Row],[Experience]]&lt;23, "15-23  YEARS",Table4[[#This Row],[Experience]]&lt;30, "23-30 YEARS",Table4[[#This Row],[Experience]]&gt;=30, "30+ YEARS")</f>
        <v>15-23  YEARS</v>
      </c>
      <c r="J221">
        <v>160057</v>
      </c>
      <c r="K221" s="5" t="str" cm="1">
        <f t="array" ref="K221">_xlfn.IFS(Table4[[#This Row],[Salary]]&lt;50000, "0-50K",Table4[[#This Row],[Salary]]&lt;100000, "50K-1L",Table4[[#This Row],[Salary]]&lt;150000, "1L-1.5L",Table4[[#This Row],[Salary]]&lt;200000, "1.5-2L",Table4[[#This Row],[Salary]]&gt;=200000, "2L+")</f>
        <v>1.5-2L</v>
      </c>
    </row>
    <row r="222" spans="1:11" x14ac:dyDescent="0.3">
      <c r="A222">
        <v>220</v>
      </c>
      <c r="B222">
        <v>2699</v>
      </c>
      <c r="C222">
        <v>40</v>
      </c>
      <c r="D222" s="5" t="str" cm="1">
        <f t="array" ref="D222">_xlfn.IFS(C222&lt;30, "20-29",C222&lt;40, "30-39",C222&lt;50, "40-49",C222&lt;60, "50-59",Table4[[#This Row],[Age]]&gt;=60, "60+"  )</f>
        <v>40-49</v>
      </c>
      <c r="E222" t="s">
        <v>8</v>
      </c>
      <c r="F222" t="b">
        <v>1</v>
      </c>
      <c r="G222" s="1">
        <v>44609</v>
      </c>
      <c r="H222">
        <v>16</v>
      </c>
      <c r="I222" s="5" t="str" cm="1">
        <f t="array" ref="I222">_xlfn.IFS(Table4[[#This Row],[Experience]]&lt;15, "7-15 YEARS",Table4[[#This Row],[Experience]]&lt;23, "15-23  YEARS",Table4[[#This Row],[Experience]]&lt;30, "23-30 YEARS",Table4[[#This Row],[Experience]]&gt;=30, "30+ YEARS")</f>
        <v>15-23  YEARS</v>
      </c>
      <c r="J222">
        <v>135082</v>
      </c>
      <c r="K222" s="5" t="str" cm="1">
        <f t="array" ref="K222">_xlfn.IFS(Table4[[#This Row],[Salary]]&lt;50000, "0-50K",Table4[[#This Row],[Salary]]&lt;100000, "50K-1L",Table4[[#This Row],[Salary]]&lt;150000, "1L-1.5L",Table4[[#This Row],[Salary]]&lt;200000, "1.5-2L",Table4[[#This Row],[Salary]]&gt;=200000, "2L+")</f>
        <v>1L-1.5L</v>
      </c>
    </row>
    <row r="223" spans="1:11" x14ac:dyDescent="0.3">
      <c r="A223">
        <v>221</v>
      </c>
      <c r="B223">
        <v>9383</v>
      </c>
      <c r="C223">
        <v>57</v>
      </c>
      <c r="D223" s="5" t="str" cm="1">
        <f t="array" ref="D223">_xlfn.IFS(C223&lt;30, "20-29",C223&lt;40, "30-39",C223&lt;50, "40-49",C223&lt;60, "50-59",Table4[[#This Row],[Age]]&gt;=60, "60+"  )</f>
        <v>50-59</v>
      </c>
      <c r="E223" t="s">
        <v>8</v>
      </c>
      <c r="F223" t="b">
        <v>0</v>
      </c>
      <c r="G223" s="1">
        <v>37727</v>
      </c>
      <c r="H223">
        <v>25</v>
      </c>
      <c r="I223" s="5" t="str" cm="1">
        <f t="array" ref="I223">_xlfn.IFS(Table4[[#This Row],[Experience]]&lt;15, "7-15 YEARS",Table4[[#This Row],[Experience]]&lt;23, "15-23  YEARS",Table4[[#This Row],[Experience]]&lt;30, "23-30 YEARS",Table4[[#This Row],[Experience]]&gt;=30, "30+ YEARS")</f>
        <v>23-30 YEARS</v>
      </c>
      <c r="J223">
        <v>207482</v>
      </c>
      <c r="K223" s="5" t="str" cm="1">
        <f t="array" ref="K223">_xlfn.IFS(Table4[[#This Row],[Salary]]&lt;50000, "0-50K",Table4[[#This Row],[Salary]]&lt;100000, "50K-1L",Table4[[#This Row],[Salary]]&lt;150000, "1L-1.5L",Table4[[#This Row],[Salary]]&lt;200000, "1.5-2L",Table4[[#This Row],[Salary]]&gt;=200000, "2L+")</f>
        <v>2L+</v>
      </c>
    </row>
    <row r="224" spans="1:11" x14ac:dyDescent="0.3">
      <c r="A224">
        <v>222</v>
      </c>
      <c r="B224">
        <v>2577</v>
      </c>
      <c r="C224">
        <v>39</v>
      </c>
      <c r="D224" s="5" t="str" cm="1">
        <f t="array" ref="D224">_xlfn.IFS(C224&lt;30, "20-29",C224&lt;40, "30-39",C224&lt;50, "40-49",C224&lt;60, "50-59",Table4[[#This Row],[Age]]&gt;=60, "60+"  )</f>
        <v>30-39</v>
      </c>
      <c r="E224" t="s">
        <v>11</v>
      </c>
      <c r="F224" t="b">
        <v>0</v>
      </c>
      <c r="G224" s="1">
        <v>44475</v>
      </c>
      <c r="H224">
        <v>19</v>
      </c>
      <c r="I224" s="5" t="str" cm="1">
        <f t="array" ref="I224">_xlfn.IFS(Table4[[#This Row],[Experience]]&lt;15, "7-15 YEARS",Table4[[#This Row],[Experience]]&lt;23, "15-23  YEARS",Table4[[#This Row],[Experience]]&lt;30, "23-30 YEARS",Table4[[#This Row],[Experience]]&gt;=30, "30+ YEARS")</f>
        <v>15-23  YEARS</v>
      </c>
      <c r="J224">
        <v>144587</v>
      </c>
      <c r="K224" s="5" t="str" cm="1">
        <f t="array" ref="K224">_xlfn.IFS(Table4[[#This Row],[Salary]]&lt;50000, "0-50K",Table4[[#This Row],[Salary]]&lt;100000, "50K-1L",Table4[[#This Row],[Salary]]&lt;150000, "1L-1.5L",Table4[[#This Row],[Salary]]&lt;200000, "1.5-2L",Table4[[#This Row],[Salary]]&gt;=200000, "2L+")</f>
        <v>1L-1.5L</v>
      </c>
    </row>
    <row r="225" spans="1:11" x14ac:dyDescent="0.3">
      <c r="A225">
        <v>223</v>
      </c>
      <c r="B225">
        <v>7746</v>
      </c>
      <c r="C225">
        <v>41</v>
      </c>
      <c r="D225" s="5" t="str" cm="1">
        <f t="array" ref="D225">_xlfn.IFS(C225&lt;30, "20-29",C225&lt;40, "30-39",C225&lt;50, "40-49",C225&lt;60, "50-59",Table4[[#This Row],[Age]]&gt;=60, "60+"  )</f>
        <v>40-49</v>
      </c>
      <c r="E225" t="s">
        <v>9</v>
      </c>
      <c r="F225" t="b">
        <v>1</v>
      </c>
      <c r="G225" s="1">
        <v>27970</v>
      </c>
      <c r="H225">
        <v>22</v>
      </c>
      <c r="I225" s="5" t="str" cm="1">
        <f t="array" ref="I225">_xlfn.IFS(Table4[[#This Row],[Experience]]&lt;15, "7-15 YEARS",Table4[[#This Row],[Experience]]&lt;23, "15-23  YEARS",Table4[[#This Row],[Experience]]&lt;30, "23-30 YEARS",Table4[[#This Row],[Experience]]&gt;=30, "30+ YEARS")</f>
        <v>15-23  YEARS</v>
      </c>
      <c r="J225">
        <v>179459</v>
      </c>
      <c r="K225" s="5" t="str" cm="1">
        <f t="array" ref="K225">_xlfn.IFS(Table4[[#This Row],[Salary]]&lt;50000, "0-50K",Table4[[#This Row],[Salary]]&lt;100000, "50K-1L",Table4[[#This Row],[Salary]]&lt;150000, "1L-1.5L",Table4[[#This Row],[Salary]]&lt;200000, "1.5-2L",Table4[[#This Row],[Salary]]&gt;=200000, "2L+")</f>
        <v>1.5-2L</v>
      </c>
    </row>
    <row r="226" spans="1:11" x14ac:dyDescent="0.3">
      <c r="A226">
        <v>224</v>
      </c>
      <c r="B226">
        <v>5622</v>
      </c>
      <c r="C226">
        <v>59</v>
      </c>
      <c r="D226" s="5" t="str" cm="1">
        <f t="array" ref="D226">_xlfn.IFS(C226&lt;30, "20-29",C226&lt;40, "30-39",C226&lt;50, "40-49",C226&lt;60, "50-59",Table4[[#This Row],[Age]]&gt;=60, "60+"  )</f>
        <v>50-59</v>
      </c>
      <c r="E226" t="s">
        <v>12</v>
      </c>
      <c r="F226" t="b">
        <v>0</v>
      </c>
      <c r="G226" s="1">
        <v>29196</v>
      </c>
      <c r="H226">
        <v>30</v>
      </c>
      <c r="I226" s="5" t="str" cm="1">
        <f t="array" ref="I226">_xlfn.IFS(Table4[[#This Row],[Experience]]&lt;15, "7-15 YEARS",Table4[[#This Row],[Experience]]&lt;23, "15-23  YEARS",Table4[[#This Row],[Experience]]&lt;30, "23-30 YEARS",Table4[[#This Row],[Experience]]&gt;=30, "30+ YEARS")</f>
        <v>30+ YEARS</v>
      </c>
      <c r="J226">
        <v>235895</v>
      </c>
      <c r="K226" s="5" t="str" cm="1">
        <f t="array" ref="K226">_xlfn.IFS(Table4[[#This Row],[Salary]]&lt;50000, "0-50K",Table4[[#This Row],[Salary]]&lt;100000, "50K-1L",Table4[[#This Row],[Salary]]&lt;150000, "1L-1.5L",Table4[[#This Row],[Salary]]&lt;200000, "1.5-2L",Table4[[#This Row],[Salary]]&gt;=200000, "2L+")</f>
        <v>2L+</v>
      </c>
    </row>
    <row r="227" spans="1:11" x14ac:dyDescent="0.3">
      <c r="A227">
        <v>225</v>
      </c>
      <c r="B227">
        <v>4002</v>
      </c>
      <c r="C227">
        <v>26</v>
      </c>
      <c r="D227" s="5" t="str" cm="1">
        <f t="array" ref="D227">_xlfn.IFS(C227&lt;30, "20-29",C227&lt;40, "30-39",C227&lt;50, "40-49",C227&lt;60, "50-59",Table4[[#This Row],[Age]]&gt;=60, "60+"  )</f>
        <v>20-29</v>
      </c>
      <c r="E227" t="s">
        <v>11</v>
      </c>
      <c r="F227" t="b">
        <v>0</v>
      </c>
      <c r="G227" s="1">
        <v>38900</v>
      </c>
      <c r="H227">
        <v>17</v>
      </c>
      <c r="I227" s="5" t="str" cm="1">
        <f t="array" ref="I227">_xlfn.IFS(Table4[[#This Row],[Experience]]&lt;15, "7-15 YEARS",Table4[[#This Row],[Experience]]&lt;23, "15-23  YEARS",Table4[[#This Row],[Experience]]&lt;30, "23-30 YEARS",Table4[[#This Row],[Experience]]&gt;=30, "30+ YEARS")</f>
        <v>15-23  YEARS</v>
      </c>
      <c r="J227">
        <v>134299</v>
      </c>
      <c r="K227" s="5" t="str" cm="1">
        <f t="array" ref="K227">_xlfn.IFS(Table4[[#This Row],[Salary]]&lt;50000, "0-50K",Table4[[#This Row],[Salary]]&lt;100000, "50K-1L",Table4[[#This Row],[Salary]]&lt;150000, "1L-1.5L",Table4[[#This Row],[Salary]]&lt;200000, "1.5-2L",Table4[[#This Row],[Salary]]&gt;=200000, "2L+")</f>
        <v>1L-1.5L</v>
      </c>
    </row>
    <row r="228" spans="1:11" x14ac:dyDescent="0.3">
      <c r="A228">
        <v>226</v>
      </c>
      <c r="B228">
        <v>1643</v>
      </c>
      <c r="C228">
        <v>34</v>
      </c>
      <c r="D228" s="5" t="str" cm="1">
        <f t="array" ref="D228">_xlfn.IFS(C228&lt;30, "20-29",C228&lt;40, "30-39",C228&lt;50, "40-49",C228&lt;60, "50-59",Table4[[#This Row],[Age]]&gt;=60, "60+"  )</f>
        <v>30-39</v>
      </c>
      <c r="E228" t="s">
        <v>9</v>
      </c>
      <c r="F228" t="b">
        <v>1</v>
      </c>
      <c r="G228" s="1">
        <v>28584</v>
      </c>
      <c r="H228">
        <v>17</v>
      </c>
      <c r="I228" s="5" t="str" cm="1">
        <f t="array" ref="I228">_xlfn.IFS(Table4[[#This Row],[Experience]]&lt;15, "7-15 YEARS",Table4[[#This Row],[Experience]]&lt;23, "15-23  YEARS",Table4[[#This Row],[Experience]]&lt;30, "23-30 YEARS",Table4[[#This Row],[Experience]]&gt;=30, "30+ YEARS")</f>
        <v>15-23  YEARS</v>
      </c>
      <c r="J228">
        <v>134991</v>
      </c>
      <c r="K228" s="5" t="str" cm="1">
        <f t="array" ref="K228">_xlfn.IFS(Table4[[#This Row],[Salary]]&lt;50000, "0-50K",Table4[[#This Row],[Salary]]&lt;100000, "50K-1L",Table4[[#This Row],[Salary]]&lt;150000, "1L-1.5L",Table4[[#This Row],[Salary]]&lt;200000, "1.5-2L",Table4[[#This Row],[Salary]]&gt;=200000, "2L+")</f>
        <v>1L-1.5L</v>
      </c>
    </row>
    <row r="229" spans="1:11" x14ac:dyDescent="0.3">
      <c r="A229">
        <v>227</v>
      </c>
      <c r="B229">
        <v>1459</v>
      </c>
      <c r="C229">
        <v>26</v>
      </c>
      <c r="D229" s="5" t="str" cm="1">
        <f t="array" ref="D229">_xlfn.IFS(C229&lt;30, "20-29",C229&lt;40, "30-39",C229&lt;50, "40-49",C229&lt;60, "50-59",Table4[[#This Row],[Age]]&gt;=60, "60+"  )</f>
        <v>20-29</v>
      </c>
      <c r="E229" t="s">
        <v>9</v>
      </c>
      <c r="F229" t="b">
        <v>0</v>
      </c>
      <c r="G229" s="1">
        <v>44029</v>
      </c>
      <c r="H229">
        <v>11</v>
      </c>
      <c r="I229" s="5" t="str" cm="1">
        <f t="array" ref="I229">_xlfn.IFS(Table4[[#This Row],[Experience]]&lt;15, "7-15 YEARS",Table4[[#This Row],[Experience]]&lt;23, "15-23  YEARS",Table4[[#This Row],[Experience]]&lt;30, "23-30 YEARS",Table4[[#This Row],[Experience]]&gt;=30, "30+ YEARS")</f>
        <v>7-15 YEARS</v>
      </c>
      <c r="J229">
        <v>88841</v>
      </c>
      <c r="K229" s="5" t="str" cm="1">
        <f t="array" ref="K229">_xlfn.IFS(Table4[[#This Row],[Salary]]&lt;50000, "0-50K",Table4[[#This Row],[Salary]]&lt;100000, "50K-1L",Table4[[#This Row],[Salary]]&lt;150000, "1L-1.5L",Table4[[#This Row],[Salary]]&lt;200000, "1.5-2L",Table4[[#This Row],[Salary]]&gt;=200000, "2L+")</f>
        <v>50K-1L</v>
      </c>
    </row>
    <row r="230" spans="1:11" x14ac:dyDescent="0.3">
      <c r="A230">
        <v>228</v>
      </c>
      <c r="B230">
        <v>3972</v>
      </c>
      <c r="C230">
        <v>44</v>
      </c>
      <c r="D230" s="5" t="str" cm="1">
        <f t="array" ref="D230">_xlfn.IFS(C230&lt;30, "20-29",C230&lt;40, "30-39",C230&lt;50, "40-49",C230&lt;60, "50-59",Table4[[#This Row],[Age]]&gt;=60, "60+"  )</f>
        <v>40-49</v>
      </c>
      <c r="E230" t="s">
        <v>10</v>
      </c>
      <c r="F230" t="b">
        <v>0</v>
      </c>
      <c r="G230" s="1">
        <v>45452</v>
      </c>
      <c r="H230">
        <v>23</v>
      </c>
      <c r="I230" s="5" t="str" cm="1">
        <f t="array" ref="I230">_xlfn.IFS(Table4[[#This Row],[Experience]]&lt;15, "7-15 YEARS",Table4[[#This Row],[Experience]]&lt;23, "15-23  YEARS",Table4[[#This Row],[Experience]]&lt;30, "23-30 YEARS",Table4[[#This Row],[Experience]]&gt;=30, "30+ YEARS")</f>
        <v>23-30 YEARS</v>
      </c>
      <c r="J230">
        <v>184491</v>
      </c>
      <c r="K230" s="5" t="str" cm="1">
        <f t="array" ref="K230">_xlfn.IFS(Table4[[#This Row],[Salary]]&lt;50000, "0-50K",Table4[[#This Row],[Salary]]&lt;100000, "50K-1L",Table4[[#This Row],[Salary]]&lt;150000, "1L-1.5L",Table4[[#This Row],[Salary]]&lt;200000, "1.5-2L",Table4[[#This Row],[Salary]]&gt;=200000, "2L+")</f>
        <v>1.5-2L</v>
      </c>
    </row>
    <row r="231" spans="1:11" x14ac:dyDescent="0.3">
      <c r="A231">
        <v>229</v>
      </c>
      <c r="B231">
        <v>2714</v>
      </c>
      <c r="C231">
        <v>43</v>
      </c>
      <c r="D231" s="5" t="str" cm="1">
        <f t="array" ref="D231">_xlfn.IFS(C231&lt;30, "20-29",C231&lt;40, "30-39",C231&lt;50, "40-49",C231&lt;60, "50-59",Table4[[#This Row],[Age]]&gt;=60, "60+"  )</f>
        <v>40-49</v>
      </c>
      <c r="E231" t="s">
        <v>9</v>
      </c>
      <c r="F231" t="b">
        <v>1</v>
      </c>
      <c r="G231" s="1">
        <v>35278</v>
      </c>
      <c r="H231">
        <v>20</v>
      </c>
      <c r="I231" s="5" t="str" cm="1">
        <f t="array" ref="I231">_xlfn.IFS(Table4[[#This Row],[Experience]]&lt;15, "7-15 YEARS",Table4[[#This Row],[Experience]]&lt;23, "15-23  YEARS",Table4[[#This Row],[Experience]]&lt;30, "23-30 YEARS",Table4[[#This Row],[Experience]]&gt;=30, "30+ YEARS")</f>
        <v>15-23  YEARS</v>
      </c>
      <c r="J231">
        <v>154542</v>
      </c>
      <c r="K231" s="5" t="str" cm="1">
        <f t="array" ref="K231">_xlfn.IFS(Table4[[#This Row],[Salary]]&lt;50000, "0-50K",Table4[[#This Row],[Salary]]&lt;100000, "50K-1L",Table4[[#This Row],[Salary]]&lt;150000, "1L-1.5L",Table4[[#This Row],[Salary]]&lt;200000, "1.5-2L",Table4[[#This Row],[Salary]]&gt;=200000, "2L+")</f>
        <v>1.5-2L</v>
      </c>
    </row>
    <row r="232" spans="1:11" x14ac:dyDescent="0.3">
      <c r="A232">
        <v>230</v>
      </c>
      <c r="B232">
        <v>5785</v>
      </c>
      <c r="C232">
        <v>42</v>
      </c>
      <c r="D232" s="5" t="str" cm="1">
        <f t="array" ref="D232">_xlfn.IFS(C232&lt;30, "20-29",C232&lt;40, "30-39",C232&lt;50, "40-49",C232&lt;60, "50-59",Table4[[#This Row],[Age]]&gt;=60, "60+"  )</f>
        <v>40-49</v>
      </c>
      <c r="E232" t="s">
        <v>10</v>
      </c>
      <c r="F232" t="b">
        <v>0</v>
      </c>
      <c r="G232" s="1">
        <v>39347</v>
      </c>
      <c r="H232">
        <v>20</v>
      </c>
      <c r="I232" s="5" t="str" cm="1">
        <f t="array" ref="I232">_xlfn.IFS(Table4[[#This Row],[Experience]]&lt;15, "7-15 YEARS",Table4[[#This Row],[Experience]]&lt;23, "15-23  YEARS",Table4[[#This Row],[Experience]]&lt;30, "23-30 YEARS",Table4[[#This Row],[Experience]]&gt;=30, "30+ YEARS")</f>
        <v>15-23  YEARS</v>
      </c>
      <c r="J232">
        <v>158115</v>
      </c>
      <c r="K232" s="5" t="str" cm="1">
        <f t="array" ref="K232">_xlfn.IFS(Table4[[#This Row],[Salary]]&lt;50000, "0-50K",Table4[[#This Row],[Salary]]&lt;100000, "50K-1L",Table4[[#This Row],[Salary]]&lt;150000, "1L-1.5L",Table4[[#This Row],[Salary]]&lt;200000, "1.5-2L",Table4[[#This Row],[Salary]]&gt;=200000, "2L+")</f>
        <v>1.5-2L</v>
      </c>
    </row>
    <row r="233" spans="1:11" x14ac:dyDescent="0.3">
      <c r="A233">
        <v>231</v>
      </c>
      <c r="B233">
        <v>5746</v>
      </c>
      <c r="C233">
        <v>36</v>
      </c>
      <c r="D233" s="5" t="str" cm="1">
        <f t="array" ref="D233">_xlfn.IFS(C233&lt;30, "20-29",C233&lt;40, "30-39",C233&lt;50, "40-49",C233&lt;60, "50-59",Table4[[#This Row],[Age]]&gt;=60, "60+"  )</f>
        <v>30-39</v>
      </c>
      <c r="E233" t="s">
        <v>10</v>
      </c>
      <c r="F233" t="b">
        <v>0</v>
      </c>
      <c r="G233" s="1">
        <v>32197</v>
      </c>
      <c r="H233">
        <v>14</v>
      </c>
      <c r="I233" s="5" t="str" cm="1">
        <f t="array" ref="I233">_xlfn.IFS(Table4[[#This Row],[Experience]]&lt;15, "7-15 YEARS",Table4[[#This Row],[Experience]]&lt;23, "15-23  YEARS",Table4[[#This Row],[Experience]]&lt;30, "23-30 YEARS",Table4[[#This Row],[Experience]]&gt;=30, "30+ YEARS")</f>
        <v>7-15 YEARS</v>
      </c>
      <c r="J233">
        <v>113899</v>
      </c>
      <c r="K233" s="5" t="str" cm="1">
        <f t="array" ref="K233">_xlfn.IFS(Table4[[#This Row],[Salary]]&lt;50000, "0-50K",Table4[[#This Row],[Salary]]&lt;100000, "50K-1L",Table4[[#This Row],[Salary]]&lt;150000, "1L-1.5L",Table4[[#This Row],[Salary]]&lt;200000, "1.5-2L",Table4[[#This Row],[Salary]]&gt;=200000, "2L+")</f>
        <v>1L-1.5L</v>
      </c>
    </row>
    <row r="234" spans="1:11" x14ac:dyDescent="0.3">
      <c r="A234">
        <v>232</v>
      </c>
      <c r="B234">
        <v>9400</v>
      </c>
      <c r="C234">
        <v>25</v>
      </c>
      <c r="D234" s="5" t="str" cm="1">
        <f t="array" ref="D234">_xlfn.IFS(C234&lt;30, "20-29",C234&lt;40, "30-39",C234&lt;50, "40-49",C234&lt;60, "50-59",Table4[[#This Row],[Age]]&gt;=60, "60+"  )</f>
        <v>20-29</v>
      </c>
      <c r="E234" t="s">
        <v>9</v>
      </c>
      <c r="F234" t="b">
        <v>0</v>
      </c>
      <c r="G234" s="1">
        <v>35473</v>
      </c>
      <c r="H234">
        <v>10</v>
      </c>
      <c r="I234" s="5" t="str" cm="1">
        <f t="array" ref="I234">_xlfn.IFS(Table4[[#This Row],[Experience]]&lt;15, "7-15 YEARS",Table4[[#This Row],[Experience]]&lt;23, "15-23  YEARS",Table4[[#This Row],[Experience]]&lt;30, "23-30 YEARS",Table4[[#This Row],[Experience]]&gt;=30, "30+ YEARS")</f>
        <v>7-15 YEARS</v>
      </c>
      <c r="J234">
        <v>85343</v>
      </c>
      <c r="K234" s="5" t="str" cm="1">
        <f t="array" ref="K234">_xlfn.IFS(Table4[[#This Row],[Salary]]&lt;50000, "0-50K",Table4[[#This Row],[Salary]]&lt;100000, "50K-1L",Table4[[#This Row],[Salary]]&lt;150000, "1L-1.5L",Table4[[#This Row],[Salary]]&lt;200000, "1.5-2L",Table4[[#This Row],[Salary]]&gt;=200000, "2L+")</f>
        <v>50K-1L</v>
      </c>
    </row>
    <row r="235" spans="1:11" x14ac:dyDescent="0.3">
      <c r="A235">
        <v>233</v>
      </c>
      <c r="B235">
        <v>4676</v>
      </c>
      <c r="C235">
        <v>36</v>
      </c>
      <c r="D235" s="5" t="str" cm="1">
        <f t="array" ref="D235">_xlfn.IFS(C235&lt;30, "20-29",C235&lt;40, "30-39",C235&lt;50, "40-49",C235&lt;60, "50-59",Table4[[#This Row],[Age]]&gt;=60, "60+"  )</f>
        <v>30-39</v>
      </c>
      <c r="E235" t="s">
        <v>9</v>
      </c>
      <c r="F235" t="b">
        <v>1</v>
      </c>
      <c r="G235" s="1">
        <v>26451</v>
      </c>
      <c r="H235">
        <v>18</v>
      </c>
      <c r="I235" s="5" t="str" cm="1">
        <f t="array" ref="I235">_xlfn.IFS(Table4[[#This Row],[Experience]]&lt;15, "7-15 YEARS",Table4[[#This Row],[Experience]]&lt;23, "15-23  YEARS",Table4[[#This Row],[Experience]]&lt;30, "23-30 YEARS",Table4[[#This Row],[Experience]]&gt;=30, "30+ YEARS")</f>
        <v>15-23  YEARS</v>
      </c>
      <c r="J235">
        <v>139873</v>
      </c>
      <c r="K235" s="5" t="str" cm="1">
        <f t="array" ref="K235">_xlfn.IFS(Table4[[#This Row],[Salary]]&lt;50000, "0-50K",Table4[[#This Row],[Salary]]&lt;100000, "50K-1L",Table4[[#This Row],[Salary]]&lt;150000, "1L-1.5L",Table4[[#This Row],[Salary]]&lt;200000, "1.5-2L",Table4[[#This Row],[Salary]]&gt;=200000, "2L+")</f>
        <v>1L-1.5L</v>
      </c>
    </row>
    <row r="236" spans="1:11" x14ac:dyDescent="0.3">
      <c r="A236">
        <v>234</v>
      </c>
      <c r="B236">
        <v>9846</v>
      </c>
      <c r="C236">
        <v>61</v>
      </c>
      <c r="D236" s="5" t="str" cm="1">
        <f t="array" ref="D236">_xlfn.IFS(C236&lt;30, "20-29",C236&lt;40, "30-39",C236&lt;50, "40-49",C236&lt;60, "50-59",Table4[[#This Row],[Age]]&gt;=60, "60+"  )</f>
        <v>60+</v>
      </c>
      <c r="E236" t="s">
        <v>9</v>
      </c>
      <c r="F236" t="b">
        <v>0</v>
      </c>
      <c r="G236" s="1">
        <v>29533</v>
      </c>
      <c r="H236">
        <v>30</v>
      </c>
      <c r="I236" s="5" t="str" cm="1">
        <f t="array" ref="I236">_xlfn.IFS(Table4[[#This Row],[Experience]]&lt;15, "7-15 YEARS",Table4[[#This Row],[Experience]]&lt;23, "15-23  YEARS",Table4[[#This Row],[Experience]]&lt;30, "23-30 YEARS",Table4[[#This Row],[Experience]]&gt;=30, "30+ YEARS")</f>
        <v>30+ YEARS</v>
      </c>
      <c r="J236">
        <v>246725</v>
      </c>
      <c r="K236" s="5" t="str" cm="1">
        <f t="array" ref="K236">_xlfn.IFS(Table4[[#This Row],[Salary]]&lt;50000, "0-50K",Table4[[#This Row],[Salary]]&lt;100000, "50K-1L",Table4[[#This Row],[Salary]]&lt;150000, "1L-1.5L",Table4[[#This Row],[Salary]]&lt;200000, "1.5-2L",Table4[[#This Row],[Salary]]&gt;=200000, "2L+")</f>
        <v>2L+</v>
      </c>
    </row>
    <row r="237" spans="1:11" x14ac:dyDescent="0.3">
      <c r="A237">
        <v>235</v>
      </c>
      <c r="B237">
        <v>9108</v>
      </c>
      <c r="C237">
        <v>57</v>
      </c>
      <c r="D237" s="5" t="str" cm="1">
        <f t="array" ref="D237">_xlfn.IFS(C237&lt;30, "20-29",C237&lt;40, "30-39",C237&lt;50, "40-49",C237&lt;60, "50-59",Table4[[#This Row],[Age]]&gt;=60, "60+"  )</f>
        <v>50-59</v>
      </c>
      <c r="E237" t="s">
        <v>9</v>
      </c>
      <c r="F237" t="b">
        <v>0</v>
      </c>
      <c r="G237" s="1">
        <v>41034</v>
      </c>
      <c r="H237">
        <v>27</v>
      </c>
      <c r="I237" s="5" t="str" cm="1">
        <f t="array" ref="I237">_xlfn.IFS(Table4[[#This Row],[Experience]]&lt;15, "7-15 YEARS",Table4[[#This Row],[Experience]]&lt;23, "15-23  YEARS",Table4[[#This Row],[Experience]]&lt;30, "23-30 YEARS",Table4[[#This Row],[Experience]]&gt;=30, "30+ YEARS")</f>
        <v>23-30 YEARS</v>
      </c>
      <c r="J237">
        <v>226201</v>
      </c>
      <c r="K237" s="5" t="str" cm="1">
        <f t="array" ref="K237">_xlfn.IFS(Table4[[#This Row],[Salary]]&lt;50000, "0-50K",Table4[[#This Row],[Salary]]&lt;100000, "50K-1L",Table4[[#This Row],[Salary]]&lt;150000, "1L-1.5L",Table4[[#This Row],[Salary]]&lt;200000, "1.5-2L",Table4[[#This Row],[Salary]]&gt;=200000, "2L+")</f>
        <v>2L+</v>
      </c>
    </row>
    <row r="238" spans="1:11" x14ac:dyDescent="0.3">
      <c r="A238">
        <v>236</v>
      </c>
      <c r="B238">
        <v>3158</v>
      </c>
      <c r="C238">
        <v>51</v>
      </c>
      <c r="D238" s="5" t="str" cm="1">
        <f t="array" ref="D238">_xlfn.IFS(C238&lt;30, "20-29",C238&lt;40, "30-39",C238&lt;50, "40-49",C238&lt;60, "50-59",Table4[[#This Row],[Age]]&gt;=60, "60+"  )</f>
        <v>50-59</v>
      </c>
      <c r="E238" t="s">
        <v>8</v>
      </c>
      <c r="F238" t="b">
        <v>1</v>
      </c>
      <c r="G238" s="1">
        <v>40347</v>
      </c>
      <c r="H238">
        <v>27</v>
      </c>
      <c r="I238" s="5" t="str" cm="1">
        <f t="array" ref="I238">_xlfn.IFS(Table4[[#This Row],[Experience]]&lt;15, "7-15 YEARS",Table4[[#This Row],[Experience]]&lt;23, "15-23  YEARS",Table4[[#This Row],[Experience]]&lt;30, "23-30 YEARS",Table4[[#This Row],[Experience]]&gt;=30, "30+ YEARS")</f>
        <v>23-30 YEARS</v>
      </c>
      <c r="J238">
        <v>212105</v>
      </c>
      <c r="K238" s="5" t="str" cm="1">
        <f t="array" ref="K238">_xlfn.IFS(Table4[[#This Row],[Salary]]&lt;50000, "0-50K",Table4[[#This Row],[Salary]]&lt;100000, "50K-1L",Table4[[#This Row],[Salary]]&lt;150000, "1L-1.5L",Table4[[#This Row],[Salary]]&lt;200000, "1.5-2L",Table4[[#This Row],[Salary]]&gt;=200000, "2L+")</f>
        <v>2L+</v>
      </c>
    </row>
    <row r="239" spans="1:11" x14ac:dyDescent="0.3">
      <c r="A239">
        <v>237</v>
      </c>
      <c r="B239">
        <v>7361</v>
      </c>
      <c r="C239">
        <v>35</v>
      </c>
      <c r="D239" s="5" t="str" cm="1">
        <f t="array" ref="D239">_xlfn.IFS(C239&lt;30, "20-29",C239&lt;40, "30-39",C239&lt;50, "40-49",C239&lt;60, "50-59",Table4[[#This Row],[Age]]&gt;=60, "60+"  )</f>
        <v>30-39</v>
      </c>
      <c r="E239" t="s">
        <v>10</v>
      </c>
      <c r="F239" t="b">
        <v>0</v>
      </c>
      <c r="G239" s="1">
        <v>26495</v>
      </c>
      <c r="H239">
        <v>18</v>
      </c>
      <c r="I239" s="5" t="str" cm="1">
        <f t="array" ref="I239">_xlfn.IFS(Table4[[#This Row],[Experience]]&lt;15, "7-15 YEARS",Table4[[#This Row],[Experience]]&lt;23, "15-23  YEARS",Table4[[#This Row],[Experience]]&lt;30, "23-30 YEARS",Table4[[#This Row],[Experience]]&gt;=30, "30+ YEARS")</f>
        <v>15-23  YEARS</v>
      </c>
      <c r="J239">
        <v>149179</v>
      </c>
      <c r="K239" s="5" t="str" cm="1">
        <f t="array" ref="K239">_xlfn.IFS(Table4[[#This Row],[Salary]]&lt;50000, "0-50K",Table4[[#This Row],[Salary]]&lt;100000, "50K-1L",Table4[[#This Row],[Salary]]&lt;150000, "1L-1.5L",Table4[[#This Row],[Salary]]&lt;200000, "1.5-2L",Table4[[#This Row],[Salary]]&gt;=200000, "2L+")</f>
        <v>1L-1.5L</v>
      </c>
    </row>
    <row r="240" spans="1:11" x14ac:dyDescent="0.3">
      <c r="A240">
        <v>238</v>
      </c>
      <c r="B240">
        <v>1959</v>
      </c>
      <c r="C240">
        <v>36</v>
      </c>
      <c r="D240" s="5" t="str" cm="1">
        <f t="array" ref="D240">_xlfn.IFS(C240&lt;30, "20-29",C240&lt;40, "30-39",C240&lt;50, "40-49",C240&lt;60, "50-59",Table4[[#This Row],[Age]]&gt;=60, "60+"  )</f>
        <v>30-39</v>
      </c>
      <c r="E240" t="s">
        <v>9</v>
      </c>
      <c r="F240" t="b">
        <v>0</v>
      </c>
      <c r="G240" s="1">
        <v>25606</v>
      </c>
      <c r="H240">
        <v>15</v>
      </c>
      <c r="I240" s="5" t="str" cm="1">
        <f t="array" ref="I240">_xlfn.IFS(Table4[[#This Row],[Experience]]&lt;15, "7-15 YEARS",Table4[[#This Row],[Experience]]&lt;23, "15-23  YEARS",Table4[[#This Row],[Experience]]&lt;30, "23-30 YEARS",Table4[[#This Row],[Experience]]&gt;=30, "30+ YEARS")</f>
        <v>15-23  YEARS</v>
      </c>
      <c r="J240">
        <v>115898</v>
      </c>
      <c r="K240" s="5" t="str" cm="1">
        <f t="array" ref="K240">_xlfn.IFS(Table4[[#This Row],[Salary]]&lt;50000, "0-50K",Table4[[#This Row],[Salary]]&lt;100000, "50K-1L",Table4[[#This Row],[Salary]]&lt;150000, "1L-1.5L",Table4[[#This Row],[Salary]]&lt;200000, "1.5-2L",Table4[[#This Row],[Salary]]&gt;=200000, "2L+")</f>
        <v>1L-1.5L</v>
      </c>
    </row>
    <row r="241" spans="1:11" x14ac:dyDescent="0.3">
      <c r="A241">
        <v>239</v>
      </c>
      <c r="B241">
        <v>9340</v>
      </c>
      <c r="C241">
        <v>64</v>
      </c>
      <c r="D241" s="5" t="str" cm="1">
        <f t="array" ref="D241">_xlfn.IFS(C241&lt;30, "20-29",C241&lt;40, "30-39",C241&lt;50, "40-49",C241&lt;60, "50-59",Table4[[#This Row],[Age]]&gt;=60, "60+"  )</f>
        <v>60+</v>
      </c>
      <c r="E241" t="s">
        <v>9</v>
      </c>
      <c r="F241" t="b">
        <v>1</v>
      </c>
      <c r="G241" s="1">
        <v>29698</v>
      </c>
      <c r="H241">
        <v>30</v>
      </c>
      <c r="I241" s="5" t="str" cm="1">
        <f t="array" ref="I241">_xlfn.IFS(Table4[[#This Row],[Experience]]&lt;15, "7-15 YEARS",Table4[[#This Row],[Experience]]&lt;23, "15-23  YEARS",Table4[[#This Row],[Experience]]&lt;30, "23-30 YEARS",Table4[[#This Row],[Experience]]&gt;=30, "30+ YEARS")</f>
        <v>30+ YEARS</v>
      </c>
      <c r="J241">
        <v>245207</v>
      </c>
      <c r="K241" s="5" t="str" cm="1">
        <f t="array" ref="K241">_xlfn.IFS(Table4[[#This Row],[Salary]]&lt;50000, "0-50K",Table4[[#This Row],[Salary]]&lt;100000, "50K-1L",Table4[[#This Row],[Salary]]&lt;150000, "1L-1.5L",Table4[[#This Row],[Salary]]&lt;200000, "1.5-2L",Table4[[#This Row],[Salary]]&gt;=200000, "2L+")</f>
        <v>2L+</v>
      </c>
    </row>
    <row r="242" spans="1:11" x14ac:dyDescent="0.3">
      <c r="A242">
        <v>240</v>
      </c>
      <c r="B242">
        <v>9605</v>
      </c>
      <c r="C242">
        <v>48</v>
      </c>
      <c r="D242" s="5" t="str" cm="1">
        <f t="array" ref="D242">_xlfn.IFS(C242&lt;30, "20-29",C242&lt;40, "30-39",C242&lt;50, "40-49",C242&lt;60, "50-59",Table4[[#This Row],[Age]]&gt;=60, "60+"  )</f>
        <v>40-49</v>
      </c>
      <c r="E242" t="s">
        <v>9</v>
      </c>
      <c r="F242" t="b">
        <v>0</v>
      </c>
      <c r="G242" s="1">
        <v>27390</v>
      </c>
      <c r="H242">
        <v>21</v>
      </c>
      <c r="I242" s="5" t="str" cm="1">
        <f t="array" ref="I242">_xlfn.IFS(Table4[[#This Row],[Experience]]&lt;15, "7-15 YEARS",Table4[[#This Row],[Experience]]&lt;23, "15-23  YEARS",Table4[[#This Row],[Experience]]&lt;30, "23-30 YEARS",Table4[[#This Row],[Experience]]&gt;=30, "30+ YEARS")</f>
        <v>15-23  YEARS</v>
      </c>
      <c r="J242">
        <v>163924</v>
      </c>
      <c r="K242" s="5" t="str" cm="1">
        <f t="array" ref="K242">_xlfn.IFS(Table4[[#This Row],[Salary]]&lt;50000, "0-50K",Table4[[#This Row],[Salary]]&lt;100000, "50K-1L",Table4[[#This Row],[Salary]]&lt;150000, "1L-1.5L",Table4[[#This Row],[Salary]]&lt;200000, "1.5-2L",Table4[[#This Row],[Salary]]&gt;=200000, "2L+")</f>
        <v>1.5-2L</v>
      </c>
    </row>
    <row r="243" spans="1:11" x14ac:dyDescent="0.3">
      <c r="A243">
        <v>241</v>
      </c>
      <c r="B243">
        <v>3361</v>
      </c>
      <c r="C243">
        <v>46</v>
      </c>
      <c r="D243" s="5" t="str" cm="1">
        <f t="array" ref="D243">_xlfn.IFS(C243&lt;30, "20-29",C243&lt;40, "30-39",C243&lt;50, "40-49",C243&lt;60, "50-59",Table4[[#This Row],[Age]]&gt;=60, "60+"  )</f>
        <v>40-49</v>
      </c>
      <c r="E243" t="s">
        <v>10</v>
      </c>
      <c r="F243" t="b">
        <v>0</v>
      </c>
      <c r="G243" s="1">
        <v>28903</v>
      </c>
      <c r="H243">
        <v>22</v>
      </c>
      <c r="I243" s="5" t="str" cm="1">
        <f t="array" ref="I243">_xlfn.IFS(Table4[[#This Row],[Experience]]&lt;15, "7-15 YEARS",Table4[[#This Row],[Experience]]&lt;23, "15-23  YEARS",Table4[[#This Row],[Experience]]&lt;30, "23-30 YEARS",Table4[[#This Row],[Experience]]&gt;=30, "30+ YEARS")</f>
        <v>15-23  YEARS</v>
      </c>
      <c r="J243">
        <v>172224</v>
      </c>
      <c r="K243" s="5" t="str" cm="1">
        <f t="array" ref="K243">_xlfn.IFS(Table4[[#This Row],[Salary]]&lt;50000, "0-50K",Table4[[#This Row],[Salary]]&lt;100000, "50K-1L",Table4[[#This Row],[Salary]]&lt;150000, "1L-1.5L",Table4[[#This Row],[Salary]]&lt;200000, "1.5-2L",Table4[[#This Row],[Salary]]&gt;=200000, "2L+")</f>
        <v>1.5-2L</v>
      </c>
    </row>
    <row r="244" spans="1:11" x14ac:dyDescent="0.3">
      <c r="A244">
        <v>242</v>
      </c>
      <c r="B244">
        <v>4662</v>
      </c>
      <c r="C244">
        <v>38</v>
      </c>
      <c r="D244" s="5" t="str" cm="1">
        <f t="array" ref="D244">_xlfn.IFS(C244&lt;30, "20-29",C244&lt;40, "30-39",C244&lt;50, "40-49",C244&lt;60, "50-59",Table4[[#This Row],[Age]]&gt;=60, "60+"  )</f>
        <v>30-39</v>
      </c>
      <c r="E244" t="s">
        <v>11</v>
      </c>
      <c r="F244" t="b">
        <v>1</v>
      </c>
      <c r="G244" s="1">
        <v>38894</v>
      </c>
      <c r="H244">
        <v>19</v>
      </c>
      <c r="I244" s="5" t="str" cm="1">
        <f t="array" ref="I244">_xlfn.IFS(Table4[[#This Row],[Experience]]&lt;15, "7-15 YEARS",Table4[[#This Row],[Experience]]&lt;23, "15-23  YEARS",Table4[[#This Row],[Experience]]&lt;30, "23-30 YEARS",Table4[[#This Row],[Experience]]&gt;=30, "30+ YEARS")</f>
        <v>15-23  YEARS</v>
      </c>
      <c r="J244">
        <v>144990</v>
      </c>
      <c r="K244" s="5" t="str" cm="1">
        <f t="array" ref="K244">_xlfn.IFS(Table4[[#This Row],[Salary]]&lt;50000, "0-50K",Table4[[#This Row],[Salary]]&lt;100000, "50K-1L",Table4[[#This Row],[Salary]]&lt;150000, "1L-1.5L",Table4[[#This Row],[Salary]]&lt;200000, "1.5-2L",Table4[[#This Row],[Salary]]&gt;=200000, "2L+")</f>
        <v>1L-1.5L</v>
      </c>
    </row>
    <row r="245" spans="1:11" x14ac:dyDescent="0.3">
      <c r="A245">
        <v>243</v>
      </c>
      <c r="B245">
        <v>4844</v>
      </c>
      <c r="C245">
        <v>47</v>
      </c>
      <c r="D245" s="5" t="str" cm="1">
        <f t="array" ref="D245">_xlfn.IFS(C245&lt;30, "20-29",C245&lt;40, "30-39",C245&lt;50, "40-49",C245&lt;60, "50-59",Table4[[#This Row],[Age]]&gt;=60, "60+"  )</f>
        <v>40-49</v>
      </c>
      <c r="E245" t="s">
        <v>9</v>
      </c>
      <c r="F245" t="b">
        <v>1</v>
      </c>
      <c r="G245" s="1">
        <v>37052</v>
      </c>
      <c r="H245">
        <v>22</v>
      </c>
      <c r="I245" s="5" t="str" cm="1">
        <f t="array" ref="I245">_xlfn.IFS(Table4[[#This Row],[Experience]]&lt;15, "7-15 YEARS",Table4[[#This Row],[Experience]]&lt;23, "15-23  YEARS",Table4[[#This Row],[Experience]]&lt;30, "23-30 YEARS",Table4[[#This Row],[Experience]]&gt;=30, "30+ YEARS")</f>
        <v>15-23  YEARS</v>
      </c>
      <c r="J245">
        <v>170676</v>
      </c>
      <c r="K245" s="5" t="str" cm="1">
        <f t="array" ref="K245">_xlfn.IFS(Table4[[#This Row],[Salary]]&lt;50000, "0-50K",Table4[[#This Row],[Salary]]&lt;100000, "50K-1L",Table4[[#This Row],[Salary]]&lt;150000, "1L-1.5L",Table4[[#This Row],[Salary]]&lt;200000, "1.5-2L",Table4[[#This Row],[Salary]]&gt;=200000, "2L+")</f>
        <v>1.5-2L</v>
      </c>
    </row>
    <row r="246" spans="1:11" x14ac:dyDescent="0.3">
      <c r="A246">
        <v>244</v>
      </c>
      <c r="B246">
        <v>6788</v>
      </c>
      <c r="C246">
        <v>39</v>
      </c>
      <c r="D246" s="5" t="str" cm="1">
        <f t="array" ref="D246">_xlfn.IFS(C246&lt;30, "20-29",C246&lt;40, "30-39",C246&lt;50, "40-49",C246&lt;60, "50-59",Table4[[#This Row],[Age]]&gt;=60, "60+"  )</f>
        <v>30-39</v>
      </c>
      <c r="E246" t="s">
        <v>10</v>
      </c>
      <c r="F246" t="b">
        <v>1</v>
      </c>
      <c r="G246" s="1">
        <v>45929</v>
      </c>
      <c r="H246">
        <v>22</v>
      </c>
      <c r="I246" s="5" t="str" cm="1">
        <f t="array" ref="I246">_xlfn.IFS(Table4[[#This Row],[Experience]]&lt;15, "7-15 YEARS",Table4[[#This Row],[Experience]]&lt;23, "15-23  YEARS",Table4[[#This Row],[Experience]]&lt;30, "23-30 YEARS",Table4[[#This Row],[Experience]]&gt;=30, "30+ YEARS")</f>
        <v>15-23  YEARS</v>
      </c>
      <c r="J246">
        <v>181837</v>
      </c>
      <c r="K246" s="5" t="str" cm="1">
        <f t="array" ref="K246">_xlfn.IFS(Table4[[#This Row],[Salary]]&lt;50000, "0-50K",Table4[[#This Row],[Salary]]&lt;100000, "50K-1L",Table4[[#This Row],[Salary]]&lt;150000, "1L-1.5L",Table4[[#This Row],[Salary]]&lt;200000, "1.5-2L",Table4[[#This Row],[Salary]]&gt;=200000, "2L+")</f>
        <v>1.5-2L</v>
      </c>
    </row>
    <row r="247" spans="1:11" x14ac:dyDescent="0.3">
      <c r="A247">
        <v>245</v>
      </c>
      <c r="B247">
        <v>4450</v>
      </c>
      <c r="C247">
        <v>42</v>
      </c>
      <c r="D247" s="5" t="str" cm="1">
        <f t="array" ref="D247">_xlfn.IFS(C247&lt;30, "20-29",C247&lt;40, "30-39",C247&lt;50, "40-49",C247&lt;60, "50-59",Table4[[#This Row],[Age]]&gt;=60, "60+"  )</f>
        <v>40-49</v>
      </c>
      <c r="E247" t="s">
        <v>12</v>
      </c>
      <c r="F247" t="b">
        <v>0</v>
      </c>
      <c r="G247" s="1">
        <v>33415</v>
      </c>
      <c r="H247">
        <v>18</v>
      </c>
      <c r="I247" s="5" t="str" cm="1">
        <f t="array" ref="I247">_xlfn.IFS(Table4[[#This Row],[Experience]]&lt;15, "7-15 YEARS",Table4[[#This Row],[Experience]]&lt;23, "15-23  YEARS",Table4[[#This Row],[Experience]]&lt;30, "23-30 YEARS",Table4[[#This Row],[Experience]]&gt;=30, "30+ YEARS")</f>
        <v>15-23  YEARS</v>
      </c>
      <c r="J247">
        <v>133509</v>
      </c>
      <c r="K247" s="5" t="str" cm="1">
        <f t="array" ref="K247">_xlfn.IFS(Table4[[#This Row],[Salary]]&lt;50000, "0-50K",Table4[[#This Row],[Salary]]&lt;100000, "50K-1L",Table4[[#This Row],[Salary]]&lt;150000, "1L-1.5L",Table4[[#This Row],[Salary]]&lt;200000, "1.5-2L",Table4[[#This Row],[Salary]]&gt;=200000, "2L+")</f>
        <v>1L-1.5L</v>
      </c>
    </row>
    <row r="248" spans="1:11" x14ac:dyDescent="0.3">
      <c r="A248">
        <v>246</v>
      </c>
      <c r="B248">
        <v>9076</v>
      </c>
      <c r="C248">
        <v>58</v>
      </c>
      <c r="D248" s="5" t="str" cm="1">
        <f t="array" ref="D248">_xlfn.IFS(C248&lt;30, "20-29",C248&lt;40, "30-39",C248&lt;50, "40-49",C248&lt;60, "50-59",Table4[[#This Row],[Age]]&gt;=60, "60+"  )</f>
        <v>50-59</v>
      </c>
      <c r="E248" t="s">
        <v>11</v>
      </c>
      <c r="F248" t="b">
        <v>0</v>
      </c>
      <c r="G248" s="1">
        <v>31168</v>
      </c>
      <c r="H248">
        <v>29</v>
      </c>
      <c r="I248" s="5" t="str" cm="1">
        <f t="array" ref="I248">_xlfn.IFS(Table4[[#This Row],[Experience]]&lt;15, "7-15 YEARS",Table4[[#This Row],[Experience]]&lt;23, "15-23  YEARS",Table4[[#This Row],[Experience]]&lt;30, "23-30 YEARS",Table4[[#This Row],[Experience]]&gt;=30, "30+ YEARS")</f>
        <v>23-30 YEARS</v>
      </c>
      <c r="J248">
        <v>234402</v>
      </c>
      <c r="K248" s="5" t="str" cm="1">
        <f t="array" ref="K248">_xlfn.IFS(Table4[[#This Row],[Salary]]&lt;50000, "0-50K",Table4[[#This Row],[Salary]]&lt;100000, "50K-1L",Table4[[#This Row],[Salary]]&lt;150000, "1L-1.5L",Table4[[#This Row],[Salary]]&lt;200000, "1.5-2L",Table4[[#This Row],[Salary]]&gt;=200000, "2L+")</f>
        <v>2L+</v>
      </c>
    </row>
    <row r="249" spans="1:11" x14ac:dyDescent="0.3">
      <c r="A249">
        <v>247</v>
      </c>
      <c r="B249">
        <v>8936</v>
      </c>
      <c r="C249">
        <v>46</v>
      </c>
      <c r="D249" s="5" t="str" cm="1">
        <f t="array" ref="D249">_xlfn.IFS(C249&lt;30, "20-29",C249&lt;40, "30-39",C249&lt;50, "40-49",C249&lt;60, "50-59",Table4[[#This Row],[Age]]&gt;=60, "60+"  )</f>
        <v>40-49</v>
      </c>
      <c r="E249" t="s">
        <v>10</v>
      </c>
      <c r="F249" t="b">
        <v>0</v>
      </c>
      <c r="G249" s="1">
        <v>38360</v>
      </c>
      <c r="H249">
        <v>20</v>
      </c>
      <c r="I249" s="5" t="str" cm="1">
        <f t="array" ref="I249">_xlfn.IFS(Table4[[#This Row],[Experience]]&lt;15, "7-15 YEARS",Table4[[#This Row],[Experience]]&lt;23, "15-23  YEARS",Table4[[#This Row],[Experience]]&lt;30, "23-30 YEARS",Table4[[#This Row],[Experience]]&gt;=30, "30+ YEARS")</f>
        <v>15-23  YEARS</v>
      </c>
      <c r="J249">
        <v>165971</v>
      </c>
      <c r="K249" s="5" t="str" cm="1">
        <f t="array" ref="K249">_xlfn.IFS(Table4[[#This Row],[Salary]]&lt;50000, "0-50K",Table4[[#This Row],[Salary]]&lt;100000, "50K-1L",Table4[[#This Row],[Salary]]&lt;150000, "1L-1.5L",Table4[[#This Row],[Salary]]&lt;200000, "1.5-2L",Table4[[#This Row],[Salary]]&gt;=200000, "2L+")</f>
        <v>1.5-2L</v>
      </c>
    </row>
    <row r="250" spans="1:11" x14ac:dyDescent="0.3">
      <c r="A250">
        <v>248</v>
      </c>
      <c r="B250">
        <v>3578</v>
      </c>
      <c r="C250">
        <v>31</v>
      </c>
      <c r="D250" s="5" t="str" cm="1">
        <f t="array" ref="D250">_xlfn.IFS(C250&lt;30, "20-29",C250&lt;40, "30-39",C250&lt;50, "40-49",C250&lt;60, "50-59",Table4[[#This Row],[Age]]&gt;=60, "60+"  )</f>
        <v>30-39</v>
      </c>
      <c r="E250" t="s">
        <v>12</v>
      </c>
      <c r="F250" t="b">
        <v>0</v>
      </c>
      <c r="G250" s="1">
        <v>34361</v>
      </c>
      <c r="H250">
        <v>13</v>
      </c>
      <c r="I250" s="5" t="str" cm="1">
        <f t="array" ref="I250">_xlfn.IFS(Table4[[#This Row],[Experience]]&lt;15, "7-15 YEARS",Table4[[#This Row],[Experience]]&lt;23, "15-23  YEARS",Table4[[#This Row],[Experience]]&lt;30, "23-30 YEARS",Table4[[#This Row],[Experience]]&gt;=30, "30+ YEARS")</f>
        <v>7-15 YEARS</v>
      </c>
      <c r="J250">
        <v>105359</v>
      </c>
      <c r="K250" s="5" t="str" cm="1">
        <f t="array" ref="K250">_xlfn.IFS(Table4[[#This Row],[Salary]]&lt;50000, "0-50K",Table4[[#This Row],[Salary]]&lt;100000, "50K-1L",Table4[[#This Row],[Salary]]&lt;150000, "1L-1.5L",Table4[[#This Row],[Salary]]&lt;200000, "1.5-2L",Table4[[#This Row],[Salary]]&gt;=200000, "2L+")</f>
        <v>1L-1.5L</v>
      </c>
    </row>
    <row r="251" spans="1:11" x14ac:dyDescent="0.3">
      <c r="A251">
        <v>249</v>
      </c>
      <c r="B251">
        <v>5624</v>
      </c>
      <c r="C251">
        <v>22</v>
      </c>
      <c r="D251" s="5" t="str" cm="1">
        <f t="array" ref="D251">_xlfn.IFS(C251&lt;30, "20-29",C251&lt;40, "30-39",C251&lt;50, "40-49",C251&lt;60, "50-59",Table4[[#This Row],[Age]]&gt;=60, "60+"  )</f>
        <v>20-29</v>
      </c>
      <c r="E251" t="s">
        <v>12</v>
      </c>
      <c r="F251" t="b">
        <v>1</v>
      </c>
      <c r="G251" s="1">
        <v>30364</v>
      </c>
      <c r="H251">
        <v>13</v>
      </c>
      <c r="I251" s="5" t="str" cm="1">
        <f t="array" ref="I251">_xlfn.IFS(Table4[[#This Row],[Experience]]&lt;15, "7-15 YEARS",Table4[[#This Row],[Experience]]&lt;23, "15-23  YEARS",Table4[[#This Row],[Experience]]&lt;30, "23-30 YEARS",Table4[[#This Row],[Experience]]&gt;=30, "30+ YEARS")</f>
        <v>7-15 YEARS</v>
      </c>
      <c r="J251">
        <v>94383</v>
      </c>
      <c r="K251" s="5" t="str" cm="1">
        <f t="array" ref="K251">_xlfn.IFS(Table4[[#This Row],[Salary]]&lt;50000, "0-50K",Table4[[#This Row],[Salary]]&lt;100000, "50K-1L",Table4[[#This Row],[Salary]]&lt;150000, "1L-1.5L",Table4[[#This Row],[Salary]]&lt;200000, "1.5-2L",Table4[[#This Row],[Salary]]&gt;=200000, "2L+")</f>
        <v>50K-1L</v>
      </c>
    </row>
    <row r="252" spans="1:11" x14ac:dyDescent="0.3">
      <c r="A252">
        <v>250</v>
      </c>
      <c r="B252">
        <v>3793</v>
      </c>
      <c r="C252">
        <v>51</v>
      </c>
      <c r="D252" s="5" t="str" cm="1">
        <f t="array" ref="D252">_xlfn.IFS(C252&lt;30, "20-29",C252&lt;40, "30-39",C252&lt;50, "40-49",C252&lt;60, "50-59",Table4[[#This Row],[Age]]&gt;=60, "60+"  )</f>
        <v>50-59</v>
      </c>
      <c r="E252" t="s">
        <v>12</v>
      </c>
      <c r="F252" t="b">
        <v>0</v>
      </c>
      <c r="G252" s="1">
        <v>44986</v>
      </c>
      <c r="H252">
        <v>24</v>
      </c>
      <c r="I252" s="5" t="str" cm="1">
        <f t="array" ref="I252">_xlfn.IFS(Table4[[#This Row],[Experience]]&lt;15, "7-15 YEARS",Table4[[#This Row],[Experience]]&lt;23, "15-23  YEARS",Table4[[#This Row],[Experience]]&lt;30, "23-30 YEARS",Table4[[#This Row],[Experience]]&gt;=30, "30+ YEARS")</f>
        <v>23-30 YEARS</v>
      </c>
      <c r="J252">
        <v>198528</v>
      </c>
      <c r="K252" s="5" t="str" cm="1">
        <f t="array" ref="K252">_xlfn.IFS(Table4[[#This Row],[Salary]]&lt;50000, "0-50K",Table4[[#This Row],[Salary]]&lt;100000, "50K-1L",Table4[[#This Row],[Salary]]&lt;150000, "1L-1.5L",Table4[[#This Row],[Salary]]&lt;200000, "1.5-2L",Table4[[#This Row],[Salary]]&gt;=200000, "2L+")</f>
        <v>1.5-2L</v>
      </c>
    </row>
    <row r="253" spans="1:11" x14ac:dyDescent="0.3">
      <c r="A253">
        <v>251</v>
      </c>
      <c r="B253">
        <v>1804</v>
      </c>
      <c r="C253">
        <v>62</v>
      </c>
      <c r="D253" s="5" t="str" cm="1">
        <f t="array" ref="D253">_xlfn.IFS(C253&lt;30, "20-29",C253&lt;40, "30-39",C253&lt;50, "40-49",C253&lt;60, "50-59",Table4[[#This Row],[Age]]&gt;=60, "60+"  )</f>
        <v>60+</v>
      </c>
      <c r="E253" t="s">
        <v>12</v>
      </c>
      <c r="F253" t="b">
        <v>1</v>
      </c>
      <c r="G253" s="1">
        <v>38657</v>
      </c>
      <c r="H253">
        <v>31</v>
      </c>
      <c r="I253" s="5" t="str" cm="1">
        <f t="array" ref="I253">_xlfn.IFS(Table4[[#This Row],[Experience]]&lt;15, "7-15 YEARS",Table4[[#This Row],[Experience]]&lt;23, "15-23  YEARS",Table4[[#This Row],[Experience]]&lt;30, "23-30 YEARS",Table4[[#This Row],[Experience]]&gt;=30, "30+ YEARS")</f>
        <v>30+ YEARS</v>
      </c>
      <c r="J253">
        <v>242369</v>
      </c>
      <c r="K253" s="5" t="str" cm="1">
        <f t="array" ref="K253">_xlfn.IFS(Table4[[#This Row],[Salary]]&lt;50000, "0-50K",Table4[[#This Row],[Salary]]&lt;100000, "50K-1L",Table4[[#This Row],[Salary]]&lt;150000, "1L-1.5L",Table4[[#This Row],[Salary]]&lt;200000, "1.5-2L",Table4[[#This Row],[Salary]]&gt;=200000, "2L+")</f>
        <v>2L+</v>
      </c>
    </row>
    <row r="254" spans="1:11" x14ac:dyDescent="0.3">
      <c r="A254">
        <v>252</v>
      </c>
      <c r="B254">
        <v>5169</v>
      </c>
      <c r="C254">
        <v>52</v>
      </c>
      <c r="D254" s="5" t="str" cm="1">
        <f t="array" ref="D254">_xlfn.IFS(C254&lt;30, "20-29",C254&lt;40, "30-39",C254&lt;50, "40-49",C254&lt;60, "50-59",Table4[[#This Row],[Age]]&gt;=60, "60+"  )</f>
        <v>50-59</v>
      </c>
      <c r="E254" t="s">
        <v>12</v>
      </c>
      <c r="F254" t="b">
        <v>1</v>
      </c>
      <c r="G254" s="1">
        <v>39705</v>
      </c>
      <c r="H254">
        <v>23</v>
      </c>
      <c r="I254" s="5" t="str" cm="1">
        <f t="array" ref="I254">_xlfn.IFS(Table4[[#This Row],[Experience]]&lt;15, "7-15 YEARS",Table4[[#This Row],[Experience]]&lt;23, "15-23  YEARS",Table4[[#This Row],[Experience]]&lt;30, "23-30 YEARS",Table4[[#This Row],[Experience]]&gt;=30, "30+ YEARS")</f>
        <v>23-30 YEARS</v>
      </c>
      <c r="J254">
        <v>182226</v>
      </c>
      <c r="K254" s="5" t="str" cm="1">
        <f t="array" ref="K254">_xlfn.IFS(Table4[[#This Row],[Salary]]&lt;50000, "0-50K",Table4[[#This Row],[Salary]]&lt;100000, "50K-1L",Table4[[#This Row],[Salary]]&lt;150000, "1L-1.5L",Table4[[#This Row],[Salary]]&lt;200000, "1.5-2L",Table4[[#This Row],[Salary]]&gt;=200000, "2L+")</f>
        <v>1.5-2L</v>
      </c>
    </row>
    <row r="255" spans="1:11" x14ac:dyDescent="0.3">
      <c r="A255">
        <v>253</v>
      </c>
      <c r="B255">
        <v>7658</v>
      </c>
      <c r="C255">
        <v>27</v>
      </c>
      <c r="D255" s="5" t="str" cm="1">
        <f t="array" ref="D255">_xlfn.IFS(C255&lt;30, "20-29",C255&lt;40, "30-39",C255&lt;50, "40-49",C255&lt;60, "50-59",Table4[[#This Row],[Age]]&gt;=60, "60+"  )</f>
        <v>20-29</v>
      </c>
      <c r="E255" t="s">
        <v>11</v>
      </c>
      <c r="F255" t="b">
        <v>0</v>
      </c>
      <c r="G255" s="1">
        <v>35265</v>
      </c>
      <c r="H255">
        <v>11</v>
      </c>
      <c r="I255" s="5" t="str" cm="1">
        <f t="array" ref="I255">_xlfn.IFS(Table4[[#This Row],[Experience]]&lt;15, "7-15 YEARS",Table4[[#This Row],[Experience]]&lt;23, "15-23  YEARS",Table4[[#This Row],[Experience]]&lt;30, "23-30 YEARS",Table4[[#This Row],[Experience]]&gt;=30, "30+ YEARS")</f>
        <v>7-15 YEARS</v>
      </c>
      <c r="J255">
        <v>88117</v>
      </c>
      <c r="K255" s="5" t="str" cm="1">
        <f t="array" ref="K255">_xlfn.IFS(Table4[[#This Row],[Salary]]&lt;50000, "0-50K",Table4[[#This Row],[Salary]]&lt;100000, "50K-1L",Table4[[#This Row],[Salary]]&lt;150000, "1L-1.5L",Table4[[#This Row],[Salary]]&lt;200000, "1.5-2L",Table4[[#This Row],[Salary]]&gt;=200000, "2L+")</f>
        <v>50K-1L</v>
      </c>
    </row>
    <row r="256" spans="1:11" x14ac:dyDescent="0.3">
      <c r="A256">
        <v>254</v>
      </c>
      <c r="B256">
        <v>3417</v>
      </c>
      <c r="C256">
        <v>54</v>
      </c>
      <c r="D256" s="5" t="str" cm="1">
        <f t="array" ref="D256">_xlfn.IFS(C256&lt;30, "20-29",C256&lt;40, "30-39",C256&lt;50, "40-49",C256&lt;60, "50-59",Table4[[#This Row],[Age]]&gt;=60, "60+"  )</f>
        <v>50-59</v>
      </c>
      <c r="E256" t="s">
        <v>10</v>
      </c>
      <c r="F256" t="b">
        <v>1</v>
      </c>
      <c r="G256" s="1">
        <v>37514</v>
      </c>
      <c r="H256">
        <v>30</v>
      </c>
      <c r="I256" s="5" t="str" cm="1">
        <f t="array" ref="I256">_xlfn.IFS(Table4[[#This Row],[Experience]]&lt;15, "7-15 YEARS",Table4[[#This Row],[Experience]]&lt;23, "15-23  YEARS",Table4[[#This Row],[Experience]]&lt;30, "23-30 YEARS",Table4[[#This Row],[Experience]]&gt;=30, "30+ YEARS")</f>
        <v>30+ YEARS</v>
      </c>
      <c r="J256">
        <v>242515</v>
      </c>
      <c r="K256" s="5" t="str" cm="1">
        <f t="array" ref="K256">_xlfn.IFS(Table4[[#This Row],[Salary]]&lt;50000, "0-50K",Table4[[#This Row],[Salary]]&lt;100000, "50K-1L",Table4[[#This Row],[Salary]]&lt;150000, "1L-1.5L",Table4[[#This Row],[Salary]]&lt;200000, "1.5-2L",Table4[[#This Row],[Salary]]&gt;=200000, "2L+")</f>
        <v>2L+</v>
      </c>
    </row>
    <row r="257" spans="1:11" x14ac:dyDescent="0.3">
      <c r="A257">
        <v>255</v>
      </c>
      <c r="B257">
        <v>4801</v>
      </c>
      <c r="C257">
        <v>62</v>
      </c>
      <c r="D257" s="5" t="str" cm="1">
        <f t="array" ref="D257">_xlfn.IFS(C257&lt;30, "20-29",C257&lt;40, "30-39",C257&lt;50, "40-49",C257&lt;60, "50-59",Table4[[#This Row],[Age]]&gt;=60, "60+"  )</f>
        <v>60+</v>
      </c>
      <c r="E257" t="s">
        <v>8</v>
      </c>
      <c r="F257" t="b">
        <v>0</v>
      </c>
      <c r="G257" s="1">
        <v>40130</v>
      </c>
      <c r="H257">
        <v>35</v>
      </c>
      <c r="I257" s="5" t="str" cm="1">
        <f t="array" ref="I257">_xlfn.IFS(Table4[[#This Row],[Experience]]&lt;15, "7-15 YEARS",Table4[[#This Row],[Experience]]&lt;23, "15-23  YEARS",Table4[[#This Row],[Experience]]&lt;30, "23-30 YEARS",Table4[[#This Row],[Experience]]&gt;=30, "30+ YEARS")</f>
        <v>30+ YEARS</v>
      </c>
      <c r="J257">
        <v>281861</v>
      </c>
      <c r="K257" s="5" t="str" cm="1">
        <f t="array" ref="K257">_xlfn.IFS(Table4[[#This Row],[Salary]]&lt;50000, "0-50K",Table4[[#This Row],[Salary]]&lt;100000, "50K-1L",Table4[[#This Row],[Salary]]&lt;150000, "1L-1.5L",Table4[[#This Row],[Salary]]&lt;200000, "1.5-2L",Table4[[#This Row],[Salary]]&gt;=200000, "2L+")</f>
        <v>2L+</v>
      </c>
    </row>
    <row r="258" spans="1:11" x14ac:dyDescent="0.3">
      <c r="A258">
        <v>256</v>
      </c>
      <c r="B258">
        <v>2427</v>
      </c>
      <c r="C258">
        <v>61</v>
      </c>
      <c r="D258" s="5" t="str" cm="1">
        <f t="array" ref="D258">_xlfn.IFS(C258&lt;30, "20-29",C258&lt;40, "30-39",C258&lt;50, "40-49",C258&lt;60, "50-59",Table4[[#This Row],[Age]]&gt;=60, "60+"  )</f>
        <v>60+</v>
      </c>
      <c r="E258" t="s">
        <v>12</v>
      </c>
      <c r="F258" t="b">
        <v>0</v>
      </c>
      <c r="G258" s="1">
        <v>27643</v>
      </c>
      <c r="H258">
        <v>31</v>
      </c>
      <c r="I258" s="5" t="str" cm="1">
        <f t="array" ref="I258">_xlfn.IFS(Table4[[#This Row],[Experience]]&lt;15, "7-15 YEARS",Table4[[#This Row],[Experience]]&lt;23, "15-23  YEARS",Table4[[#This Row],[Experience]]&lt;30, "23-30 YEARS",Table4[[#This Row],[Experience]]&gt;=30, "30+ YEARS")</f>
        <v>30+ YEARS</v>
      </c>
      <c r="J258">
        <v>242118</v>
      </c>
      <c r="K258" s="5" t="str" cm="1">
        <f t="array" ref="K258">_xlfn.IFS(Table4[[#This Row],[Salary]]&lt;50000, "0-50K",Table4[[#This Row],[Salary]]&lt;100000, "50K-1L",Table4[[#This Row],[Salary]]&lt;150000, "1L-1.5L",Table4[[#This Row],[Salary]]&lt;200000, "1.5-2L",Table4[[#This Row],[Salary]]&gt;=200000, "2L+")</f>
        <v>2L+</v>
      </c>
    </row>
    <row r="259" spans="1:11" x14ac:dyDescent="0.3">
      <c r="A259">
        <v>257</v>
      </c>
      <c r="B259">
        <v>4976</v>
      </c>
      <c r="C259">
        <v>48</v>
      </c>
      <c r="D259" s="5" t="str" cm="1">
        <f t="array" ref="D259">_xlfn.IFS(C259&lt;30, "20-29",C259&lt;40, "30-39",C259&lt;50, "40-49",C259&lt;60, "50-59",Table4[[#This Row],[Age]]&gt;=60, "60+"  )</f>
        <v>40-49</v>
      </c>
      <c r="E259" t="s">
        <v>9</v>
      </c>
      <c r="F259" t="b">
        <v>1</v>
      </c>
      <c r="G259" s="1">
        <v>39883</v>
      </c>
      <c r="H259">
        <v>26</v>
      </c>
      <c r="I259" s="5" t="str" cm="1">
        <f t="array" ref="I259">_xlfn.IFS(Table4[[#This Row],[Experience]]&lt;15, "7-15 YEARS",Table4[[#This Row],[Experience]]&lt;23, "15-23  YEARS",Table4[[#This Row],[Experience]]&lt;30, "23-30 YEARS",Table4[[#This Row],[Experience]]&gt;=30, "30+ YEARS")</f>
        <v>23-30 YEARS</v>
      </c>
      <c r="J259">
        <v>209490</v>
      </c>
      <c r="K259" s="5" t="str" cm="1">
        <f t="array" ref="K259">_xlfn.IFS(Table4[[#This Row],[Salary]]&lt;50000, "0-50K",Table4[[#This Row],[Salary]]&lt;100000, "50K-1L",Table4[[#This Row],[Salary]]&lt;150000, "1L-1.5L",Table4[[#This Row],[Salary]]&lt;200000, "1.5-2L",Table4[[#This Row],[Salary]]&gt;=200000, "2L+")</f>
        <v>2L+</v>
      </c>
    </row>
    <row r="260" spans="1:11" x14ac:dyDescent="0.3">
      <c r="A260">
        <v>258</v>
      </c>
      <c r="B260">
        <v>2090</v>
      </c>
      <c r="C260">
        <v>26</v>
      </c>
      <c r="D260" s="5" t="str" cm="1">
        <f t="array" ref="D260">_xlfn.IFS(C260&lt;30, "20-29",C260&lt;40, "30-39",C260&lt;50, "40-49",C260&lt;60, "50-59",Table4[[#This Row],[Age]]&gt;=60, "60+"  )</f>
        <v>20-29</v>
      </c>
      <c r="E260" t="s">
        <v>12</v>
      </c>
      <c r="F260" t="b">
        <v>0</v>
      </c>
      <c r="G260" s="1">
        <v>40438</v>
      </c>
      <c r="H260">
        <v>11</v>
      </c>
      <c r="I260" s="5" t="str" cm="1">
        <f t="array" ref="I260">_xlfn.IFS(Table4[[#This Row],[Experience]]&lt;15, "7-15 YEARS",Table4[[#This Row],[Experience]]&lt;23, "15-23  YEARS",Table4[[#This Row],[Experience]]&lt;30, "23-30 YEARS",Table4[[#This Row],[Experience]]&gt;=30, "30+ YEARS")</f>
        <v>7-15 YEARS</v>
      </c>
      <c r="J260">
        <v>89796</v>
      </c>
      <c r="K260" s="5" t="str" cm="1">
        <f t="array" ref="K260">_xlfn.IFS(Table4[[#This Row],[Salary]]&lt;50000, "0-50K",Table4[[#This Row],[Salary]]&lt;100000, "50K-1L",Table4[[#This Row],[Salary]]&lt;150000, "1L-1.5L",Table4[[#This Row],[Salary]]&lt;200000, "1.5-2L",Table4[[#This Row],[Salary]]&gt;=200000, "2L+")</f>
        <v>50K-1L</v>
      </c>
    </row>
    <row r="261" spans="1:11" x14ac:dyDescent="0.3">
      <c r="A261">
        <v>259</v>
      </c>
      <c r="B261">
        <v>8575</v>
      </c>
      <c r="C261">
        <v>41</v>
      </c>
      <c r="D261" s="5" t="str" cm="1">
        <f t="array" ref="D261">_xlfn.IFS(C261&lt;30, "20-29",C261&lt;40, "30-39",C261&lt;50, "40-49",C261&lt;60, "50-59",Table4[[#This Row],[Age]]&gt;=60, "60+"  )</f>
        <v>40-49</v>
      </c>
      <c r="E261" t="s">
        <v>8</v>
      </c>
      <c r="F261" t="b">
        <v>0</v>
      </c>
      <c r="G261" s="1">
        <v>33323</v>
      </c>
      <c r="H261">
        <v>17</v>
      </c>
      <c r="I261" s="5" t="str" cm="1">
        <f t="array" ref="I261">_xlfn.IFS(Table4[[#This Row],[Experience]]&lt;15, "7-15 YEARS",Table4[[#This Row],[Experience]]&lt;23, "15-23  YEARS",Table4[[#This Row],[Experience]]&lt;30, "23-30 YEARS",Table4[[#This Row],[Experience]]&gt;=30, "30+ YEARS")</f>
        <v>15-23  YEARS</v>
      </c>
      <c r="J261">
        <v>133309</v>
      </c>
      <c r="K261" s="5" t="str" cm="1">
        <f t="array" ref="K261">_xlfn.IFS(Table4[[#This Row],[Salary]]&lt;50000, "0-50K",Table4[[#This Row],[Salary]]&lt;100000, "50K-1L",Table4[[#This Row],[Salary]]&lt;150000, "1L-1.5L",Table4[[#This Row],[Salary]]&lt;200000, "1.5-2L",Table4[[#This Row],[Salary]]&gt;=200000, "2L+")</f>
        <v>1L-1.5L</v>
      </c>
    </row>
    <row r="262" spans="1:11" x14ac:dyDescent="0.3">
      <c r="A262">
        <v>260</v>
      </c>
      <c r="B262">
        <v>6820</v>
      </c>
      <c r="C262">
        <v>61</v>
      </c>
      <c r="D262" s="5" t="str" cm="1">
        <f t="array" ref="D262">_xlfn.IFS(C262&lt;30, "20-29",C262&lt;40, "30-39",C262&lt;50, "40-49",C262&lt;60, "50-59",Table4[[#This Row],[Age]]&gt;=60, "60+"  )</f>
        <v>60+</v>
      </c>
      <c r="E262" t="s">
        <v>12</v>
      </c>
      <c r="F262" t="b">
        <v>0</v>
      </c>
      <c r="G262" s="1">
        <v>32566</v>
      </c>
      <c r="H262">
        <v>30</v>
      </c>
      <c r="I262" s="5" t="str" cm="1">
        <f t="array" ref="I262">_xlfn.IFS(Table4[[#This Row],[Experience]]&lt;15, "7-15 YEARS",Table4[[#This Row],[Experience]]&lt;23, "15-23  YEARS",Table4[[#This Row],[Experience]]&lt;30, "23-30 YEARS",Table4[[#This Row],[Experience]]&gt;=30, "30+ YEARS")</f>
        <v>30+ YEARS</v>
      </c>
      <c r="J262">
        <v>242055</v>
      </c>
      <c r="K262" s="5" t="str" cm="1">
        <f t="array" ref="K262">_xlfn.IFS(Table4[[#This Row],[Salary]]&lt;50000, "0-50K",Table4[[#This Row],[Salary]]&lt;100000, "50K-1L",Table4[[#This Row],[Salary]]&lt;150000, "1L-1.5L",Table4[[#This Row],[Salary]]&lt;200000, "1.5-2L",Table4[[#This Row],[Salary]]&gt;=200000, "2L+")</f>
        <v>2L+</v>
      </c>
    </row>
    <row r="263" spans="1:11" x14ac:dyDescent="0.3">
      <c r="A263">
        <v>261</v>
      </c>
      <c r="B263">
        <v>4433</v>
      </c>
      <c r="C263">
        <v>59</v>
      </c>
      <c r="D263" s="5" t="str" cm="1">
        <f t="array" ref="D263">_xlfn.IFS(C263&lt;30, "20-29",C263&lt;40, "30-39",C263&lt;50, "40-49",C263&lt;60, "50-59",Table4[[#This Row],[Age]]&gt;=60, "60+"  )</f>
        <v>50-59</v>
      </c>
      <c r="E263" t="s">
        <v>10</v>
      </c>
      <c r="F263" t="b">
        <v>0</v>
      </c>
      <c r="G263" s="1">
        <v>28869</v>
      </c>
      <c r="H263">
        <v>27</v>
      </c>
      <c r="I263" s="5" t="str" cm="1">
        <f t="array" ref="I263">_xlfn.IFS(Table4[[#This Row],[Experience]]&lt;15, "7-15 YEARS",Table4[[#This Row],[Experience]]&lt;23, "15-23  YEARS",Table4[[#This Row],[Experience]]&lt;30, "23-30 YEARS",Table4[[#This Row],[Experience]]&gt;=30, "30+ YEARS")</f>
        <v>23-30 YEARS</v>
      </c>
      <c r="J263">
        <v>216452</v>
      </c>
      <c r="K263" s="5" t="str" cm="1">
        <f t="array" ref="K263">_xlfn.IFS(Table4[[#This Row],[Salary]]&lt;50000, "0-50K",Table4[[#This Row],[Salary]]&lt;100000, "50K-1L",Table4[[#This Row],[Salary]]&lt;150000, "1L-1.5L",Table4[[#This Row],[Salary]]&lt;200000, "1.5-2L",Table4[[#This Row],[Salary]]&gt;=200000, "2L+")</f>
        <v>2L+</v>
      </c>
    </row>
    <row r="264" spans="1:11" x14ac:dyDescent="0.3">
      <c r="A264">
        <v>262</v>
      </c>
      <c r="B264">
        <v>2245</v>
      </c>
      <c r="C264">
        <v>49</v>
      </c>
      <c r="D264" s="5" t="str" cm="1">
        <f t="array" ref="D264">_xlfn.IFS(C264&lt;30, "20-29",C264&lt;40, "30-39",C264&lt;50, "40-49",C264&lt;60, "50-59",Table4[[#This Row],[Age]]&gt;=60, "60+"  )</f>
        <v>40-49</v>
      </c>
      <c r="E264" t="s">
        <v>9</v>
      </c>
      <c r="F264" t="b">
        <v>0</v>
      </c>
      <c r="G264" s="1">
        <v>33306</v>
      </c>
      <c r="H264">
        <v>23</v>
      </c>
      <c r="I264" s="5" t="str" cm="1">
        <f t="array" ref="I264">_xlfn.IFS(Table4[[#This Row],[Experience]]&lt;15, "7-15 YEARS",Table4[[#This Row],[Experience]]&lt;23, "15-23  YEARS",Table4[[#This Row],[Experience]]&lt;30, "23-30 YEARS",Table4[[#This Row],[Experience]]&gt;=30, "30+ YEARS")</f>
        <v>23-30 YEARS</v>
      </c>
      <c r="J264">
        <v>175322</v>
      </c>
      <c r="K264" s="5" t="str" cm="1">
        <f t="array" ref="K264">_xlfn.IFS(Table4[[#This Row],[Salary]]&lt;50000, "0-50K",Table4[[#This Row],[Salary]]&lt;100000, "50K-1L",Table4[[#This Row],[Salary]]&lt;150000, "1L-1.5L",Table4[[#This Row],[Salary]]&lt;200000, "1.5-2L",Table4[[#This Row],[Salary]]&gt;=200000, "2L+")</f>
        <v>1.5-2L</v>
      </c>
    </row>
    <row r="265" spans="1:11" x14ac:dyDescent="0.3">
      <c r="A265">
        <v>263</v>
      </c>
      <c r="B265">
        <v>9271</v>
      </c>
      <c r="C265">
        <v>41</v>
      </c>
      <c r="D265" s="5" t="str" cm="1">
        <f t="array" ref="D265">_xlfn.IFS(C265&lt;30, "20-29",C265&lt;40, "30-39",C265&lt;50, "40-49",C265&lt;60, "50-59",Table4[[#This Row],[Age]]&gt;=60, "60+"  )</f>
        <v>40-49</v>
      </c>
      <c r="E265" t="s">
        <v>10</v>
      </c>
      <c r="F265" t="b">
        <v>1</v>
      </c>
      <c r="G265" s="1">
        <v>25776</v>
      </c>
      <c r="H265">
        <v>18</v>
      </c>
      <c r="I265" s="5" t="str" cm="1">
        <f t="array" ref="I265">_xlfn.IFS(Table4[[#This Row],[Experience]]&lt;15, "7-15 YEARS",Table4[[#This Row],[Experience]]&lt;23, "15-23  YEARS",Table4[[#This Row],[Experience]]&lt;30, "23-30 YEARS",Table4[[#This Row],[Experience]]&gt;=30, "30+ YEARS")</f>
        <v>15-23  YEARS</v>
      </c>
      <c r="J265">
        <v>143008</v>
      </c>
      <c r="K265" s="5" t="str" cm="1">
        <f t="array" ref="K265">_xlfn.IFS(Table4[[#This Row],[Salary]]&lt;50000, "0-50K",Table4[[#This Row],[Salary]]&lt;100000, "50K-1L",Table4[[#This Row],[Salary]]&lt;150000, "1L-1.5L",Table4[[#This Row],[Salary]]&lt;200000, "1.5-2L",Table4[[#This Row],[Salary]]&gt;=200000, "2L+")</f>
        <v>1L-1.5L</v>
      </c>
    </row>
    <row r="266" spans="1:11" x14ac:dyDescent="0.3">
      <c r="A266">
        <v>264</v>
      </c>
      <c r="B266">
        <v>9654</v>
      </c>
      <c r="C266">
        <v>42</v>
      </c>
      <c r="D266" s="5" t="str" cm="1">
        <f t="array" ref="D266">_xlfn.IFS(C266&lt;30, "20-29",C266&lt;40, "30-39",C266&lt;50, "40-49",C266&lt;60, "50-59",Table4[[#This Row],[Age]]&gt;=60, "60+"  )</f>
        <v>40-49</v>
      </c>
      <c r="E266" t="s">
        <v>9</v>
      </c>
      <c r="F266" t="b">
        <v>1</v>
      </c>
      <c r="G266" s="1">
        <v>45249</v>
      </c>
      <c r="H266">
        <v>23</v>
      </c>
      <c r="I266" s="5" t="str" cm="1">
        <f t="array" ref="I266">_xlfn.IFS(Table4[[#This Row],[Experience]]&lt;15, "7-15 YEARS",Table4[[#This Row],[Experience]]&lt;23, "15-23  YEARS",Table4[[#This Row],[Experience]]&lt;30, "23-30 YEARS",Table4[[#This Row],[Experience]]&gt;=30, "30+ YEARS")</f>
        <v>23-30 YEARS</v>
      </c>
      <c r="J266">
        <v>188585</v>
      </c>
      <c r="K266" s="5" t="str" cm="1">
        <f t="array" ref="K266">_xlfn.IFS(Table4[[#This Row],[Salary]]&lt;50000, "0-50K",Table4[[#This Row],[Salary]]&lt;100000, "50K-1L",Table4[[#This Row],[Salary]]&lt;150000, "1L-1.5L",Table4[[#This Row],[Salary]]&lt;200000, "1.5-2L",Table4[[#This Row],[Salary]]&gt;=200000, "2L+")</f>
        <v>1.5-2L</v>
      </c>
    </row>
    <row r="267" spans="1:11" x14ac:dyDescent="0.3">
      <c r="A267">
        <v>265</v>
      </c>
      <c r="B267">
        <v>8985</v>
      </c>
      <c r="C267">
        <v>40</v>
      </c>
      <c r="D267" s="5" t="str" cm="1">
        <f t="array" ref="D267">_xlfn.IFS(C267&lt;30, "20-29",C267&lt;40, "30-39",C267&lt;50, "40-49",C267&lt;60, "50-59",Table4[[#This Row],[Age]]&gt;=60, "60+"  )</f>
        <v>40-49</v>
      </c>
      <c r="E267" t="s">
        <v>12</v>
      </c>
      <c r="F267" t="b">
        <v>1</v>
      </c>
      <c r="G267" s="1">
        <v>30896</v>
      </c>
      <c r="H267">
        <v>22</v>
      </c>
      <c r="I267" s="5" t="str" cm="1">
        <f t="array" ref="I267">_xlfn.IFS(Table4[[#This Row],[Experience]]&lt;15, "7-15 YEARS",Table4[[#This Row],[Experience]]&lt;23, "15-23  YEARS",Table4[[#This Row],[Experience]]&lt;30, "23-30 YEARS",Table4[[#This Row],[Experience]]&gt;=30, "30+ YEARS")</f>
        <v>15-23  YEARS</v>
      </c>
      <c r="J267">
        <v>170616</v>
      </c>
      <c r="K267" s="5" t="str" cm="1">
        <f t="array" ref="K267">_xlfn.IFS(Table4[[#This Row],[Salary]]&lt;50000, "0-50K",Table4[[#This Row],[Salary]]&lt;100000, "50K-1L",Table4[[#This Row],[Salary]]&lt;150000, "1L-1.5L",Table4[[#This Row],[Salary]]&lt;200000, "1.5-2L",Table4[[#This Row],[Salary]]&gt;=200000, "2L+")</f>
        <v>1.5-2L</v>
      </c>
    </row>
    <row r="268" spans="1:11" x14ac:dyDescent="0.3">
      <c r="A268">
        <v>266</v>
      </c>
      <c r="B268">
        <v>2461</v>
      </c>
      <c r="C268">
        <v>29</v>
      </c>
      <c r="D268" s="5" t="str" cm="1">
        <f t="array" ref="D268">_xlfn.IFS(C268&lt;30, "20-29",C268&lt;40, "30-39",C268&lt;50, "40-49",C268&lt;60, "50-59",Table4[[#This Row],[Age]]&gt;=60, "60+"  )</f>
        <v>20-29</v>
      </c>
      <c r="E268" t="s">
        <v>11</v>
      </c>
      <c r="F268" t="b">
        <v>1</v>
      </c>
      <c r="G268" s="1">
        <v>42204</v>
      </c>
      <c r="H268">
        <v>10</v>
      </c>
      <c r="I268" s="5" t="str" cm="1">
        <f t="array" ref="I268">_xlfn.IFS(Table4[[#This Row],[Experience]]&lt;15, "7-15 YEARS",Table4[[#This Row],[Experience]]&lt;23, "15-23  YEARS",Table4[[#This Row],[Experience]]&lt;30, "23-30 YEARS",Table4[[#This Row],[Experience]]&gt;=30, "30+ YEARS")</f>
        <v>7-15 YEARS</v>
      </c>
      <c r="J268">
        <v>76240</v>
      </c>
      <c r="K268" s="5" t="str" cm="1">
        <f t="array" ref="K268">_xlfn.IFS(Table4[[#This Row],[Salary]]&lt;50000, "0-50K",Table4[[#This Row],[Salary]]&lt;100000, "50K-1L",Table4[[#This Row],[Salary]]&lt;150000, "1L-1.5L",Table4[[#This Row],[Salary]]&lt;200000, "1.5-2L",Table4[[#This Row],[Salary]]&gt;=200000, "2L+")</f>
        <v>50K-1L</v>
      </c>
    </row>
    <row r="269" spans="1:11" x14ac:dyDescent="0.3">
      <c r="A269">
        <v>267</v>
      </c>
      <c r="B269">
        <v>3151</v>
      </c>
      <c r="C269">
        <v>33</v>
      </c>
      <c r="D269" s="5" t="str" cm="1">
        <f t="array" ref="D269">_xlfn.IFS(C269&lt;30, "20-29",C269&lt;40, "30-39",C269&lt;50, "40-49",C269&lt;60, "50-59",Table4[[#This Row],[Age]]&gt;=60, "60+"  )</f>
        <v>30-39</v>
      </c>
      <c r="E269" t="s">
        <v>11</v>
      </c>
      <c r="F269" t="b">
        <v>1</v>
      </c>
      <c r="G269" s="1">
        <v>34309</v>
      </c>
      <c r="H269">
        <v>15</v>
      </c>
      <c r="I269" s="5" t="str" cm="1">
        <f t="array" ref="I269">_xlfn.IFS(Table4[[#This Row],[Experience]]&lt;15, "7-15 YEARS",Table4[[#This Row],[Experience]]&lt;23, "15-23  YEARS",Table4[[#This Row],[Experience]]&lt;30, "23-30 YEARS",Table4[[#This Row],[Experience]]&gt;=30, "30+ YEARS")</f>
        <v>15-23  YEARS</v>
      </c>
      <c r="J269">
        <v>126615</v>
      </c>
      <c r="K269" s="5" t="str" cm="1">
        <f t="array" ref="K269">_xlfn.IFS(Table4[[#This Row],[Salary]]&lt;50000, "0-50K",Table4[[#This Row],[Salary]]&lt;100000, "50K-1L",Table4[[#This Row],[Salary]]&lt;150000, "1L-1.5L",Table4[[#This Row],[Salary]]&lt;200000, "1.5-2L",Table4[[#This Row],[Salary]]&gt;=200000, "2L+")</f>
        <v>1L-1.5L</v>
      </c>
    </row>
    <row r="270" spans="1:11" x14ac:dyDescent="0.3">
      <c r="A270">
        <v>268</v>
      </c>
      <c r="B270">
        <v>7639</v>
      </c>
      <c r="C270">
        <v>56</v>
      </c>
      <c r="D270" s="5" t="str" cm="1">
        <f t="array" ref="D270">_xlfn.IFS(C270&lt;30, "20-29",C270&lt;40, "30-39",C270&lt;50, "40-49",C270&lt;60, "50-59",Table4[[#This Row],[Age]]&gt;=60, "60+"  )</f>
        <v>50-59</v>
      </c>
      <c r="E270" t="s">
        <v>10</v>
      </c>
      <c r="F270" t="b">
        <v>0</v>
      </c>
      <c r="G270" s="1">
        <v>25832</v>
      </c>
      <c r="H270">
        <v>28</v>
      </c>
      <c r="I270" s="5" t="str" cm="1">
        <f t="array" ref="I270">_xlfn.IFS(Table4[[#This Row],[Experience]]&lt;15, "7-15 YEARS",Table4[[#This Row],[Experience]]&lt;23, "15-23  YEARS",Table4[[#This Row],[Experience]]&lt;30, "23-30 YEARS",Table4[[#This Row],[Experience]]&gt;=30, "30+ YEARS")</f>
        <v>23-30 YEARS</v>
      </c>
      <c r="J270">
        <v>229698</v>
      </c>
      <c r="K270" s="5" t="str" cm="1">
        <f t="array" ref="K270">_xlfn.IFS(Table4[[#This Row],[Salary]]&lt;50000, "0-50K",Table4[[#This Row],[Salary]]&lt;100000, "50K-1L",Table4[[#This Row],[Salary]]&lt;150000, "1L-1.5L",Table4[[#This Row],[Salary]]&lt;200000, "1.5-2L",Table4[[#This Row],[Salary]]&gt;=200000, "2L+")</f>
        <v>2L+</v>
      </c>
    </row>
    <row r="271" spans="1:11" x14ac:dyDescent="0.3">
      <c r="A271">
        <v>269</v>
      </c>
      <c r="B271">
        <v>5916</v>
      </c>
      <c r="C271">
        <v>56</v>
      </c>
      <c r="D271" s="5" t="str" cm="1">
        <f t="array" ref="D271">_xlfn.IFS(C271&lt;30, "20-29",C271&lt;40, "30-39",C271&lt;50, "40-49",C271&lt;60, "50-59",Table4[[#This Row],[Age]]&gt;=60, "60+"  )</f>
        <v>50-59</v>
      </c>
      <c r="E271" t="s">
        <v>12</v>
      </c>
      <c r="F271" t="b">
        <v>0</v>
      </c>
      <c r="G271" s="1">
        <v>33732</v>
      </c>
      <c r="H271">
        <v>24</v>
      </c>
      <c r="I271" s="5" t="str" cm="1">
        <f t="array" ref="I271">_xlfn.IFS(Table4[[#This Row],[Experience]]&lt;15, "7-15 YEARS",Table4[[#This Row],[Experience]]&lt;23, "15-23  YEARS",Table4[[#This Row],[Experience]]&lt;30, "23-30 YEARS",Table4[[#This Row],[Experience]]&gt;=30, "30+ YEARS")</f>
        <v>23-30 YEARS</v>
      </c>
      <c r="J271">
        <v>187784</v>
      </c>
      <c r="K271" s="5" t="str" cm="1">
        <f t="array" ref="K271">_xlfn.IFS(Table4[[#This Row],[Salary]]&lt;50000, "0-50K",Table4[[#This Row],[Salary]]&lt;100000, "50K-1L",Table4[[#This Row],[Salary]]&lt;150000, "1L-1.5L",Table4[[#This Row],[Salary]]&lt;200000, "1.5-2L",Table4[[#This Row],[Salary]]&gt;=200000, "2L+")</f>
        <v>1.5-2L</v>
      </c>
    </row>
    <row r="272" spans="1:11" x14ac:dyDescent="0.3">
      <c r="A272">
        <v>270</v>
      </c>
      <c r="B272">
        <v>9431</v>
      </c>
      <c r="C272">
        <v>36</v>
      </c>
      <c r="D272" s="5" t="str" cm="1">
        <f t="array" ref="D272">_xlfn.IFS(C272&lt;30, "20-29",C272&lt;40, "30-39",C272&lt;50, "40-49",C272&lt;60, "50-59",Table4[[#This Row],[Age]]&gt;=60, "60+"  )</f>
        <v>30-39</v>
      </c>
      <c r="E272" t="s">
        <v>8</v>
      </c>
      <c r="F272" t="b">
        <v>1</v>
      </c>
      <c r="G272" s="1">
        <v>40317</v>
      </c>
      <c r="H272">
        <v>16</v>
      </c>
      <c r="I272" s="5" t="str" cm="1">
        <f t="array" ref="I272">_xlfn.IFS(Table4[[#This Row],[Experience]]&lt;15, "7-15 YEARS",Table4[[#This Row],[Experience]]&lt;23, "15-23  YEARS",Table4[[#This Row],[Experience]]&lt;30, "23-30 YEARS",Table4[[#This Row],[Experience]]&gt;=30, "30+ YEARS")</f>
        <v>15-23  YEARS</v>
      </c>
      <c r="J272">
        <v>138129</v>
      </c>
      <c r="K272" s="5" t="str" cm="1">
        <f t="array" ref="K272">_xlfn.IFS(Table4[[#This Row],[Salary]]&lt;50000, "0-50K",Table4[[#This Row],[Salary]]&lt;100000, "50K-1L",Table4[[#This Row],[Salary]]&lt;150000, "1L-1.5L",Table4[[#This Row],[Salary]]&lt;200000, "1.5-2L",Table4[[#This Row],[Salary]]&gt;=200000, "2L+")</f>
        <v>1L-1.5L</v>
      </c>
    </row>
    <row r="273" spans="1:11" x14ac:dyDescent="0.3">
      <c r="A273">
        <v>271</v>
      </c>
      <c r="B273">
        <v>3881</v>
      </c>
      <c r="C273">
        <v>23</v>
      </c>
      <c r="D273" s="5" t="str" cm="1">
        <f t="array" ref="D273">_xlfn.IFS(C273&lt;30, "20-29",C273&lt;40, "30-39",C273&lt;50, "40-49",C273&lt;60, "50-59",Table4[[#This Row],[Age]]&gt;=60, "60+"  )</f>
        <v>20-29</v>
      </c>
      <c r="E273" t="s">
        <v>12</v>
      </c>
      <c r="F273" t="b">
        <v>1</v>
      </c>
      <c r="G273" s="1">
        <v>26336</v>
      </c>
      <c r="H273">
        <v>9</v>
      </c>
      <c r="I273" s="5" t="str" cm="1">
        <f t="array" ref="I273">_xlfn.IFS(Table4[[#This Row],[Experience]]&lt;15, "7-15 YEARS",Table4[[#This Row],[Experience]]&lt;23, "15-23  YEARS",Table4[[#This Row],[Experience]]&lt;30, "23-30 YEARS",Table4[[#This Row],[Experience]]&gt;=30, "30+ YEARS")</f>
        <v>7-15 YEARS</v>
      </c>
      <c r="J273">
        <v>67144</v>
      </c>
      <c r="K273" s="5" t="str" cm="1">
        <f t="array" ref="K273">_xlfn.IFS(Table4[[#This Row],[Salary]]&lt;50000, "0-50K",Table4[[#This Row],[Salary]]&lt;100000, "50K-1L",Table4[[#This Row],[Salary]]&lt;150000, "1L-1.5L",Table4[[#This Row],[Salary]]&lt;200000, "1.5-2L",Table4[[#This Row],[Salary]]&gt;=200000, "2L+")</f>
        <v>50K-1L</v>
      </c>
    </row>
    <row r="274" spans="1:11" x14ac:dyDescent="0.3">
      <c r="A274">
        <v>272</v>
      </c>
      <c r="B274">
        <v>4413</v>
      </c>
      <c r="C274">
        <v>64</v>
      </c>
      <c r="D274" s="5" t="str" cm="1">
        <f t="array" ref="D274">_xlfn.IFS(C274&lt;30, "20-29",C274&lt;40, "30-39",C274&lt;50, "40-49",C274&lt;60, "50-59",Table4[[#This Row],[Age]]&gt;=60, "60+"  )</f>
        <v>60+</v>
      </c>
      <c r="E274" t="s">
        <v>10</v>
      </c>
      <c r="F274" t="b">
        <v>0</v>
      </c>
      <c r="G274" s="1">
        <v>38469</v>
      </c>
      <c r="H274">
        <v>29</v>
      </c>
      <c r="I274" s="5" t="str" cm="1">
        <f t="array" ref="I274">_xlfn.IFS(Table4[[#This Row],[Experience]]&lt;15, "7-15 YEARS",Table4[[#This Row],[Experience]]&lt;23, "15-23  YEARS",Table4[[#This Row],[Experience]]&lt;30, "23-30 YEARS",Table4[[#This Row],[Experience]]&gt;=30, "30+ YEARS")</f>
        <v>23-30 YEARS</v>
      </c>
      <c r="J274">
        <v>239949</v>
      </c>
      <c r="K274" s="5" t="str" cm="1">
        <f t="array" ref="K274">_xlfn.IFS(Table4[[#This Row],[Salary]]&lt;50000, "0-50K",Table4[[#This Row],[Salary]]&lt;100000, "50K-1L",Table4[[#This Row],[Salary]]&lt;150000, "1L-1.5L",Table4[[#This Row],[Salary]]&lt;200000, "1.5-2L",Table4[[#This Row],[Salary]]&gt;=200000, "2L+")</f>
        <v>2L+</v>
      </c>
    </row>
    <row r="275" spans="1:11" x14ac:dyDescent="0.3">
      <c r="A275">
        <v>273</v>
      </c>
      <c r="B275">
        <v>6996</v>
      </c>
      <c r="C275">
        <v>50</v>
      </c>
      <c r="D275" s="5" t="str" cm="1">
        <f t="array" ref="D275">_xlfn.IFS(C275&lt;30, "20-29",C275&lt;40, "30-39",C275&lt;50, "40-49",C275&lt;60, "50-59",Table4[[#This Row],[Age]]&gt;=60, "60+"  )</f>
        <v>50-59</v>
      </c>
      <c r="E275" t="s">
        <v>12</v>
      </c>
      <c r="F275" t="b">
        <v>1</v>
      </c>
      <c r="G275" s="1">
        <v>30504</v>
      </c>
      <c r="H275">
        <v>21</v>
      </c>
      <c r="I275" s="5" t="str" cm="1">
        <f t="array" ref="I275">_xlfn.IFS(Table4[[#This Row],[Experience]]&lt;15, "7-15 YEARS",Table4[[#This Row],[Experience]]&lt;23, "15-23  YEARS",Table4[[#This Row],[Experience]]&lt;30, "23-30 YEARS",Table4[[#This Row],[Experience]]&gt;=30, "30+ YEARS")</f>
        <v>15-23  YEARS</v>
      </c>
      <c r="J275">
        <v>179365</v>
      </c>
      <c r="K275" s="5" t="str" cm="1">
        <f t="array" ref="K275">_xlfn.IFS(Table4[[#This Row],[Salary]]&lt;50000, "0-50K",Table4[[#This Row],[Salary]]&lt;100000, "50K-1L",Table4[[#This Row],[Salary]]&lt;150000, "1L-1.5L",Table4[[#This Row],[Salary]]&lt;200000, "1.5-2L",Table4[[#This Row],[Salary]]&gt;=200000, "2L+")</f>
        <v>1.5-2L</v>
      </c>
    </row>
    <row r="276" spans="1:11" x14ac:dyDescent="0.3">
      <c r="A276">
        <v>274</v>
      </c>
      <c r="B276">
        <v>9067</v>
      </c>
      <c r="C276">
        <v>50</v>
      </c>
      <c r="D276" s="5" t="str" cm="1">
        <f t="array" ref="D276">_xlfn.IFS(C276&lt;30, "20-29",C276&lt;40, "30-39",C276&lt;50, "40-49",C276&lt;60, "50-59",Table4[[#This Row],[Age]]&gt;=60, "60+"  )</f>
        <v>50-59</v>
      </c>
      <c r="E276" t="s">
        <v>10</v>
      </c>
      <c r="F276" t="b">
        <v>1</v>
      </c>
      <c r="G276" s="1">
        <v>27018</v>
      </c>
      <c r="H276">
        <v>24</v>
      </c>
      <c r="I276" s="5" t="str" cm="1">
        <f t="array" ref="I276">_xlfn.IFS(Table4[[#This Row],[Experience]]&lt;15, "7-15 YEARS",Table4[[#This Row],[Experience]]&lt;23, "15-23  YEARS",Table4[[#This Row],[Experience]]&lt;30, "23-30 YEARS",Table4[[#This Row],[Experience]]&gt;=30, "30+ YEARS")</f>
        <v>23-30 YEARS</v>
      </c>
      <c r="J276">
        <v>187838</v>
      </c>
      <c r="K276" s="5" t="str" cm="1">
        <f t="array" ref="K276">_xlfn.IFS(Table4[[#This Row],[Salary]]&lt;50000, "0-50K",Table4[[#This Row],[Salary]]&lt;100000, "50K-1L",Table4[[#This Row],[Salary]]&lt;150000, "1L-1.5L",Table4[[#This Row],[Salary]]&lt;200000, "1.5-2L",Table4[[#This Row],[Salary]]&gt;=200000, "2L+")</f>
        <v>1.5-2L</v>
      </c>
    </row>
    <row r="277" spans="1:11" x14ac:dyDescent="0.3">
      <c r="A277">
        <v>275</v>
      </c>
      <c r="B277">
        <v>7346</v>
      </c>
      <c r="C277">
        <v>25</v>
      </c>
      <c r="D277" s="5" t="str" cm="1">
        <f t="array" ref="D277">_xlfn.IFS(C277&lt;30, "20-29",C277&lt;40, "30-39",C277&lt;50, "40-49",C277&lt;60, "50-59",Table4[[#This Row],[Age]]&gt;=60, "60+"  )</f>
        <v>20-29</v>
      </c>
      <c r="E277" t="s">
        <v>8</v>
      </c>
      <c r="F277" t="b">
        <v>0</v>
      </c>
      <c r="G277" s="1">
        <v>43285</v>
      </c>
      <c r="H277">
        <v>16</v>
      </c>
      <c r="I277" s="5" t="str" cm="1">
        <f t="array" ref="I277">_xlfn.IFS(Table4[[#This Row],[Experience]]&lt;15, "7-15 YEARS",Table4[[#This Row],[Experience]]&lt;23, "15-23  YEARS",Table4[[#This Row],[Experience]]&lt;30, "23-30 YEARS",Table4[[#This Row],[Experience]]&gt;=30, "30+ YEARS")</f>
        <v>15-23  YEARS</v>
      </c>
      <c r="J277">
        <v>132450</v>
      </c>
      <c r="K277" s="5" t="str" cm="1">
        <f t="array" ref="K277">_xlfn.IFS(Table4[[#This Row],[Salary]]&lt;50000, "0-50K",Table4[[#This Row],[Salary]]&lt;100000, "50K-1L",Table4[[#This Row],[Salary]]&lt;150000, "1L-1.5L",Table4[[#This Row],[Salary]]&lt;200000, "1.5-2L",Table4[[#This Row],[Salary]]&gt;=200000, "2L+")</f>
        <v>1L-1.5L</v>
      </c>
    </row>
    <row r="278" spans="1:11" x14ac:dyDescent="0.3">
      <c r="A278">
        <v>276</v>
      </c>
      <c r="B278">
        <v>5348</v>
      </c>
      <c r="C278">
        <v>51</v>
      </c>
      <c r="D278" s="5" t="str" cm="1">
        <f t="array" ref="D278">_xlfn.IFS(C278&lt;30, "20-29",C278&lt;40, "30-39",C278&lt;50, "40-49",C278&lt;60, "50-59",Table4[[#This Row],[Age]]&gt;=60, "60+"  )</f>
        <v>50-59</v>
      </c>
      <c r="E278" t="s">
        <v>12</v>
      </c>
      <c r="F278" t="b">
        <v>0</v>
      </c>
      <c r="G278" s="1">
        <v>34080</v>
      </c>
      <c r="H278">
        <v>27</v>
      </c>
      <c r="I278" s="5" t="str" cm="1">
        <f t="array" ref="I278">_xlfn.IFS(Table4[[#This Row],[Experience]]&lt;15, "7-15 YEARS",Table4[[#This Row],[Experience]]&lt;23, "15-23  YEARS",Table4[[#This Row],[Experience]]&lt;30, "23-30 YEARS",Table4[[#This Row],[Experience]]&gt;=30, "30+ YEARS")</f>
        <v>23-30 YEARS</v>
      </c>
      <c r="J278">
        <v>205100</v>
      </c>
      <c r="K278" s="5" t="str" cm="1">
        <f t="array" ref="K278">_xlfn.IFS(Table4[[#This Row],[Salary]]&lt;50000, "0-50K",Table4[[#This Row],[Salary]]&lt;100000, "50K-1L",Table4[[#This Row],[Salary]]&lt;150000, "1L-1.5L",Table4[[#This Row],[Salary]]&lt;200000, "1.5-2L",Table4[[#This Row],[Salary]]&gt;=200000, "2L+")</f>
        <v>2L+</v>
      </c>
    </row>
    <row r="279" spans="1:11" x14ac:dyDescent="0.3">
      <c r="A279">
        <v>277</v>
      </c>
      <c r="B279">
        <v>8654</v>
      </c>
      <c r="C279">
        <v>33</v>
      </c>
      <c r="D279" s="5" t="str" cm="1">
        <f t="array" ref="D279">_xlfn.IFS(C279&lt;30, "20-29",C279&lt;40, "30-39",C279&lt;50, "40-49",C279&lt;60, "50-59",Table4[[#This Row],[Age]]&gt;=60, "60+"  )</f>
        <v>30-39</v>
      </c>
      <c r="E279" t="s">
        <v>11</v>
      </c>
      <c r="F279" t="b">
        <v>0</v>
      </c>
      <c r="G279" s="1">
        <v>32108</v>
      </c>
      <c r="H279">
        <v>14</v>
      </c>
      <c r="I279" s="5" t="str" cm="1">
        <f t="array" ref="I279">_xlfn.IFS(Table4[[#This Row],[Experience]]&lt;15, "7-15 YEARS",Table4[[#This Row],[Experience]]&lt;23, "15-23  YEARS",Table4[[#This Row],[Experience]]&lt;30, "23-30 YEARS",Table4[[#This Row],[Experience]]&gt;=30, "30+ YEARS")</f>
        <v>7-15 YEARS</v>
      </c>
      <c r="J279">
        <v>116747</v>
      </c>
      <c r="K279" s="5" t="str" cm="1">
        <f t="array" ref="K279">_xlfn.IFS(Table4[[#This Row],[Salary]]&lt;50000, "0-50K",Table4[[#This Row],[Salary]]&lt;100000, "50K-1L",Table4[[#This Row],[Salary]]&lt;150000, "1L-1.5L",Table4[[#This Row],[Salary]]&lt;200000, "1.5-2L",Table4[[#This Row],[Salary]]&gt;=200000, "2L+")</f>
        <v>1L-1.5L</v>
      </c>
    </row>
    <row r="280" spans="1:11" x14ac:dyDescent="0.3">
      <c r="A280">
        <v>278</v>
      </c>
      <c r="B280">
        <v>6135</v>
      </c>
      <c r="C280">
        <v>39</v>
      </c>
      <c r="D280" s="5" t="str" cm="1">
        <f t="array" ref="D280">_xlfn.IFS(C280&lt;30, "20-29",C280&lt;40, "30-39",C280&lt;50, "40-49",C280&lt;60, "50-59",Table4[[#This Row],[Age]]&gt;=60, "60+"  )</f>
        <v>30-39</v>
      </c>
      <c r="E280" t="s">
        <v>12</v>
      </c>
      <c r="F280" t="b">
        <v>0</v>
      </c>
      <c r="G280" s="1">
        <v>32578</v>
      </c>
      <c r="H280">
        <v>20</v>
      </c>
      <c r="I280" s="5" t="str" cm="1">
        <f t="array" ref="I280">_xlfn.IFS(Table4[[#This Row],[Experience]]&lt;15, "7-15 YEARS",Table4[[#This Row],[Experience]]&lt;23, "15-23  YEARS",Table4[[#This Row],[Experience]]&lt;30, "23-30 YEARS",Table4[[#This Row],[Experience]]&gt;=30, "30+ YEARS")</f>
        <v>15-23  YEARS</v>
      </c>
      <c r="J280">
        <v>163267</v>
      </c>
      <c r="K280" s="5" t="str" cm="1">
        <f t="array" ref="K280">_xlfn.IFS(Table4[[#This Row],[Salary]]&lt;50000, "0-50K",Table4[[#This Row],[Salary]]&lt;100000, "50K-1L",Table4[[#This Row],[Salary]]&lt;150000, "1L-1.5L",Table4[[#This Row],[Salary]]&lt;200000, "1.5-2L",Table4[[#This Row],[Salary]]&gt;=200000, "2L+")</f>
        <v>1.5-2L</v>
      </c>
    </row>
    <row r="281" spans="1:11" x14ac:dyDescent="0.3">
      <c r="A281">
        <v>279</v>
      </c>
      <c r="B281">
        <v>9855</v>
      </c>
      <c r="C281">
        <v>52</v>
      </c>
      <c r="D281" s="5" t="str" cm="1">
        <f t="array" ref="D281">_xlfn.IFS(C281&lt;30, "20-29",C281&lt;40, "30-39",C281&lt;50, "40-49",C281&lt;60, "50-59",Table4[[#This Row],[Age]]&gt;=60, "60+"  )</f>
        <v>50-59</v>
      </c>
      <c r="E281" t="s">
        <v>12</v>
      </c>
      <c r="F281" t="b">
        <v>0</v>
      </c>
      <c r="G281" s="1">
        <v>37115</v>
      </c>
      <c r="H281">
        <v>25</v>
      </c>
      <c r="I281" s="5" t="str" cm="1">
        <f t="array" ref="I281">_xlfn.IFS(Table4[[#This Row],[Experience]]&lt;15, "7-15 YEARS",Table4[[#This Row],[Experience]]&lt;23, "15-23  YEARS",Table4[[#This Row],[Experience]]&lt;30, "23-30 YEARS",Table4[[#This Row],[Experience]]&gt;=30, "30+ YEARS")</f>
        <v>23-30 YEARS</v>
      </c>
      <c r="J281">
        <v>201417</v>
      </c>
      <c r="K281" s="5" t="str" cm="1">
        <f t="array" ref="K281">_xlfn.IFS(Table4[[#This Row],[Salary]]&lt;50000, "0-50K",Table4[[#This Row],[Salary]]&lt;100000, "50K-1L",Table4[[#This Row],[Salary]]&lt;150000, "1L-1.5L",Table4[[#This Row],[Salary]]&lt;200000, "1.5-2L",Table4[[#This Row],[Salary]]&gt;=200000, "2L+")</f>
        <v>2L+</v>
      </c>
    </row>
    <row r="282" spans="1:11" x14ac:dyDescent="0.3">
      <c r="A282">
        <v>280</v>
      </c>
      <c r="B282">
        <v>4372</v>
      </c>
      <c r="C282">
        <v>24</v>
      </c>
      <c r="D282" s="5" t="str" cm="1">
        <f t="array" ref="D282">_xlfn.IFS(C282&lt;30, "20-29",C282&lt;40, "30-39",C282&lt;50, "40-49",C282&lt;60, "50-59",Table4[[#This Row],[Age]]&gt;=60, "60+"  )</f>
        <v>20-29</v>
      </c>
      <c r="E282" t="s">
        <v>12</v>
      </c>
      <c r="F282" t="b">
        <v>0</v>
      </c>
      <c r="G282" s="1">
        <v>39425</v>
      </c>
      <c r="H282">
        <v>10</v>
      </c>
      <c r="I282" s="5" t="str" cm="1">
        <f t="array" ref="I282">_xlfn.IFS(Table4[[#This Row],[Experience]]&lt;15, "7-15 YEARS",Table4[[#This Row],[Experience]]&lt;23, "15-23  YEARS",Table4[[#This Row],[Experience]]&lt;30, "23-30 YEARS",Table4[[#This Row],[Experience]]&gt;=30, "30+ YEARS")</f>
        <v>7-15 YEARS</v>
      </c>
      <c r="J282">
        <v>81020</v>
      </c>
      <c r="K282" s="5" t="str" cm="1">
        <f t="array" ref="K282">_xlfn.IFS(Table4[[#This Row],[Salary]]&lt;50000, "0-50K",Table4[[#This Row],[Salary]]&lt;100000, "50K-1L",Table4[[#This Row],[Salary]]&lt;150000, "1L-1.5L",Table4[[#This Row],[Salary]]&lt;200000, "1.5-2L",Table4[[#This Row],[Salary]]&gt;=200000, "2L+")</f>
        <v>50K-1L</v>
      </c>
    </row>
    <row r="283" spans="1:11" x14ac:dyDescent="0.3">
      <c r="A283">
        <v>281</v>
      </c>
      <c r="B283">
        <v>5929</v>
      </c>
      <c r="C283">
        <v>54</v>
      </c>
      <c r="D283" s="5" t="str" cm="1">
        <f t="array" ref="D283">_xlfn.IFS(C283&lt;30, "20-29",C283&lt;40, "30-39",C283&lt;50, "40-49",C283&lt;60, "50-59",Table4[[#This Row],[Age]]&gt;=60, "60+"  )</f>
        <v>50-59</v>
      </c>
      <c r="E283" t="s">
        <v>8</v>
      </c>
      <c r="F283" t="b">
        <v>0</v>
      </c>
      <c r="G283" s="1">
        <v>43766</v>
      </c>
      <c r="H283">
        <v>28</v>
      </c>
      <c r="I283" s="5" t="str" cm="1">
        <f t="array" ref="I283">_xlfn.IFS(Table4[[#This Row],[Experience]]&lt;15, "7-15 YEARS",Table4[[#This Row],[Experience]]&lt;23, "15-23  YEARS",Table4[[#This Row],[Experience]]&lt;30, "23-30 YEARS",Table4[[#This Row],[Experience]]&gt;=30, "30+ YEARS")</f>
        <v>23-30 YEARS</v>
      </c>
      <c r="J283">
        <v>223674</v>
      </c>
      <c r="K283" s="5" t="str" cm="1">
        <f t="array" ref="K283">_xlfn.IFS(Table4[[#This Row],[Salary]]&lt;50000, "0-50K",Table4[[#This Row],[Salary]]&lt;100000, "50K-1L",Table4[[#This Row],[Salary]]&lt;150000, "1L-1.5L",Table4[[#This Row],[Salary]]&lt;200000, "1.5-2L",Table4[[#This Row],[Salary]]&gt;=200000, "2L+")</f>
        <v>2L+</v>
      </c>
    </row>
    <row r="284" spans="1:11" x14ac:dyDescent="0.3">
      <c r="A284">
        <v>282</v>
      </c>
      <c r="B284">
        <v>3596</v>
      </c>
      <c r="C284">
        <v>47</v>
      </c>
      <c r="D284" s="5" t="str" cm="1">
        <f t="array" ref="D284">_xlfn.IFS(C284&lt;30, "20-29",C284&lt;40, "30-39",C284&lt;50, "40-49",C284&lt;60, "50-59",Table4[[#This Row],[Age]]&gt;=60, "60+"  )</f>
        <v>40-49</v>
      </c>
      <c r="E284" t="s">
        <v>9</v>
      </c>
      <c r="F284" t="b">
        <v>1</v>
      </c>
      <c r="G284" s="1">
        <v>36206</v>
      </c>
      <c r="H284">
        <v>26</v>
      </c>
      <c r="I284" s="5" t="str" cm="1">
        <f t="array" ref="I284">_xlfn.IFS(Table4[[#This Row],[Experience]]&lt;15, "7-15 YEARS",Table4[[#This Row],[Experience]]&lt;23, "15-23  YEARS",Table4[[#This Row],[Experience]]&lt;30, "23-30 YEARS",Table4[[#This Row],[Experience]]&gt;=30, "30+ YEARS")</f>
        <v>23-30 YEARS</v>
      </c>
      <c r="J284">
        <v>210860</v>
      </c>
      <c r="K284" s="5" t="str" cm="1">
        <f t="array" ref="K284">_xlfn.IFS(Table4[[#This Row],[Salary]]&lt;50000, "0-50K",Table4[[#This Row],[Salary]]&lt;100000, "50K-1L",Table4[[#This Row],[Salary]]&lt;150000, "1L-1.5L",Table4[[#This Row],[Salary]]&lt;200000, "1.5-2L",Table4[[#This Row],[Salary]]&gt;=200000, "2L+")</f>
        <v>2L+</v>
      </c>
    </row>
    <row r="285" spans="1:11" x14ac:dyDescent="0.3">
      <c r="A285">
        <v>283</v>
      </c>
      <c r="B285">
        <v>5750</v>
      </c>
      <c r="C285">
        <v>43</v>
      </c>
      <c r="D285" s="5" t="str" cm="1">
        <f t="array" ref="D285">_xlfn.IFS(C285&lt;30, "20-29",C285&lt;40, "30-39",C285&lt;50, "40-49",C285&lt;60, "50-59",Table4[[#This Row],[Age]]&gt;=60, "60+"  )</f>
        <v>40-49</v>
      </c>
      <c r="E285" t="s">
        <v>8</v>
      </c>
      <c r="F285" t="b">
        <v>1</v>
      </c>
      <c r="G285" s="1">
        <v>44767</v>
      </c>
      <c r="H285">
        <v>21</v>
      </c>
      <c r="I285" s="5" t="str" cm="1">
        <f t="array" ref="I285">_xlfn.IFS(Table4[[#This Row],[Experience]]&lt;15, "7-15 YEARS",Table4[[#This Row],[Experience]]&lt;23, "15-23  YEARS",Table4[[#This Row],[Experience]]&lt;30, "23-30 YEARS",Table4[[#This Row],[Experience]]&gt;=30, "30+ YEARS")</f>
        <v>15-23  YEARS</v>
      </c>
      <c r="J285">
        <v>166151</v>
      </c>
      <c r="K285" s="5" t="str" cm="1">
        <f t="array" ref="K285">_xlfn.IFS(Table4[[#This Row],[Salary]]&lt;50000, "0-50K",Table4[[#This Row],[Salary]]&lt;100000, "50K-1L",Table4[[#This Row],[Salary]]&lt;150000, "1L-1.5L",Table4[[#This Row],[Salary]]&lt;200000, "1.5-2L",Table4[[#This Row],[Salary]]&gt;=200000, "2L+")</f>
        <v>1.5-2L</v>
      </c>
    </row>
    <row r="286" spans="1:11" x14ac:dyDescent="0.3">
      <c r="A286">
        <v>284</v>
      </c>
      <c r="B286">
        <v>6969</v>
      </c>
      <c r="C286">
        <v>49</v>
      </c>
      <c r="D286" s="5" t="str" cm="1">
        <f t="array" ref="D286">_xlfn.IFS(C286&lt;30, "20-29",C286&lt;40, "30-39",C286&lt;50, "40-49",C286&lt;60, "50-59",Table4[[#This Row],[Age]]&gt;=60, "60+"  )</f>
        <v>40-49</v>
      </c>
      <c r="E286" t="s">
        <v>9</v>
      </c>
      <c r="F286" t="b">
        <v>1</v>
      </c>
      <c r="G286" s="1">
        <v>38161</v>
      </c>
      <c r="H286">
        <v>27</v>
      </c>
      <c r="I286" s="5" t="str" cm="1">
        <f t="array" ref="I286">_xlfn.IFS(Table4[[#This Row],[Experience]]&lt;15, "7-15 YEARS",Table4[[#This Row],[Experience]]&lt;23, "15-23  YEARS",Table4[[#This Row],[Experience]]&lt;30, "23-30 YEARS",Table4[[#This Row],[Experience]]&gt;=30, "30+ YEARS")</f>
        <v>23-30 YEARS</v>
      </c>
      <c r="J286">
        <v>221768</v>
      </c>
      <c r="K286" s="5" t="str" cm="1">
        <f t="array" ref="K286">_xlfn.IFS(Table4[[#This Row],[Salary]]&lt;50000, "0-50K",Table4[[#This Row],[Salary]]&lt;100000, "50K-1L",Table4[[#This Row],[Salary]]&lt;150000, "1L-1.5L",Table4[[#This Row],[Salary]]&lt;200000, "1.5-2L",Table4[[#This Row],[Salary]]&gt;=200000, "2L+")</f>
        <v>2L+</v>
      </c>
    </row>
    <row r="287" spans="1:11" x14ac:dyDescent="0.3">
      <c r="A287">
        <v>285</v>
      </c>
      <c r="B287">
        <v>9046</v>
      </c>
      <c r="C287">
        <v>61</v>
      </c>
      <c r="D287" s="5" t="str" cm="1">
        <f t="array" ref="D287">_xlfn.IFS(C287&lt;30, "20-29",C287&lt;40, "30-39",C287&lt;50, "40-49",C287&lt;60, "50-59",Table4[[#This Row],[Age]]&gt;=60, "60+"  )</f>
        <v>60+</v>
      </c>
      <c r="E287" t="s">
        <v>10</v>
      </c>
      <c r="F287" t="b">
        <v>1</v>
      </c>
      <c r="G287" s="1">
        <v>44615</v>
      </c>
      <c r="H287">
        <v>28</v>
      </c>
      <c r="I287" s="5" t="str" cm="1">
        <f t="array" ref="I287">_xlfn.IFS(Table4[[#This Row],[Experience]]&lt;15, "7-15 YEARS",Table4[[#This Row],[Experience]]&lt;23, "15-23  YEARS",Table4[[#This Row],[Experience]]&lt;30, "23-30 YEARS",Table4[[#This Row],[Experience]]&gt;=30, "30+ YEARS")</f>
        <v>23-30 YEARS</v>
      </c>
      <c r="J287">
        <v>228336</v>
      </c>
      <c r="K287" s="5" t="str" cm="1">
        <f t="array" ref="K287">_xlfn.IFS(Table4[[#This Row],[Salary]]&lt;50000, "0-50K",Table4[[#This Row],[Salary]]&lt;100000, "50K-1L",Table4[[#This Row],[Salary]]&lt;150000, "1L-1.5L",Table4[[#This Row],[Salary]]&lt;200000, "1.5-2L",Table4[[#This Row],[Salary]]&gt;=200000, "2L+")</f>
        <v>2L+</v>
      </c>
    </row>
    <row r="288" spans="1:11" x14ac:dyDescent="0.3">
      <c r="A288">
        <v>286</v>
      </c>
      <c r="B288">
        <v>4744</v>
      </c>
      <c r="C288">
        <v>23</v>
      </c>
      <c r="D288" s="5" t="str" cm="1">
        <f t="array" ref="D288">_xlfn.IFS(C288&lt;30, "20-29",C288&lt;40, "30-39",C288&lt;50, "40-49",C288&lt;60, "50-59",Table4[[#This Row],[Age]]&gt;=60, "60+"  )</f>
        <v>20-29</v>
      </c>
      <c r="E288" t="s">
        <v>8</v>
      </c>
      <c r="F288" t="b">
        <v>0</v>
      </c>
      <c r="G288" s="1">
        <v>35517</v>
      </c>
      <c r="H288">
        <v>10</v>
      </c>
      <c r="I288" s="5" t="str" cm="1">
        <f t="array" ref="I288">_xlfn.IFS(Table4[[#This Row],[Experience]]&lt;15, "7-15 YEARS",Table4[[#This Row],[Experience]]&lt;23, "15-23  YEARS",Table4[[#This Row],[Experience]]&lt;30, "23-30 YEARS",Table4[[#This Row],[Experience]]&gt;=30, "30+ YEARS")</f>
        <v>7-15 YEARS</v>
      </c>
      <c r="J288">
        <v>83287</v>
      </c>
      <c r="K288" s="5" t="str" cm="1">
        <f t="array" ref="K288">_xlfn.IFS(Table4[[#This Row],[Salary]]&lt;50000, "0-50K",Table4[[#This Row],[Salary]]&lt;100000, "50K-1L",Table4[[#This Row],[Salary]]&lt;150000, "1L-1.5L",Table4[[#This Row],[Salary]]&lt;200000, "1.5-2L",Table4[[#This Row],[Salary]]&gt;=200000, "2L+")</f>
        <v>50K-1L</v>
      </c>
    </row>
    <row r="289" spans="1:11" x14ac:dyDescent="0.3">
      <c r="A289">
        <v>287</v>
      </c>
      <c r="B289">
        <v>9279</v>
      </c>
      <c r="C289">
        <v>34</v>
      </c>
      <c r="D289" s="5" t="str" cm="1">
        <f t="array" ref="D289">_xlfn.IFS(C289&lt;30, "20-29",C289&lt;40, "30-39",C289&lt;50, "40-49",C289&lt;60, "50-59",Table4[[#This Row],[Age]]&gt;=60, "60+"  )</f>
        <v>30-39</v>
      </c>
      <c r="E289" t="s">
        <v>11</v>
      </c>
      <c r="F289" t="b">
        <v>0</v>
      </c>
      <c r="G289" s="1">
        <v>25625</v>
      </c>
      <c r="H289">
        <v>14</v>
      </c>
      <c r="I289" s="5" t="str" cm="1">
        <f t="array" ref="I289">_xlfn.IFS(Table4[[#This Row],[Experience]]&lt;15, "7-15 YEARS",Table4[[#This Row],[Experience]]&lt;23, "15-23  YEARS",Table4[[#This Row],[Experience]]&lt;30, "23-30 YEARS",Table4[[#This Row],[Experience]]&gt;=30, "30+ YEARS")</f>
        <v>7-15 YEARS</v>
      </c>
      <c r="J289">
        <v>107405</v>
      </c>
      <c r="K289" s="5" t="str" cm="1">
        <f t="array" ref="K289">_xlfn.IFS(Table4[[#This Row],[Salary]]&lt;50000, "0-50K",Table4[[#This Row],[Salary]]&lt;100000, "50K-1L",Table4[[#This Row],[Salary]]&lt;150000, "1L-1.5L",Table4[[#This Row],[Salary]]&lt;200000, "1.5-2L",Table4[[#This Row],[Salary]]&gt;=200000, "2L+")</f>
        <v>1L-1.5L</v>
      </c>
    </row>
    <row r="290" spans="1:11" x14ac:dyDescent="0.3">
      <c r="A290">
        <v>288</v>
      </c>
      <c r="B290">
        <v>8703</v>
      </c>
      <c r="C290">
        <v>28</v>
      </c>
      <c r="D290" s="5" t="str" cm="1">
        <f t="array" ref="D290">_xlfn.IFS(C290&lt;30, "20-29",C290&lt;40, "30-39",C290&lt;50, "40-49",C290&lt;60, "50-59",Table4[[#This Row],[Age]]&gt;=60, "60+"  )</f>
        <v>20-29</v>
      </c>
      <c r="E290" t="s">
        <v>8</v>
      </c>
      <c r="F290" t="b">
        <v>1</v>
      </c>
      <c r="G290" s="1">
        <v>36160</v>
      </c>
      <c r="H290">
        <v>14</v>
      </c>
      <c r="I290" s="5" t="str" cm="1">
        <f t="array" ref="I290">_xlfn.IFS(Table4[[#This Row],[Experience]]&lt;15, "7-15 YEARS",Table4[[#This Row],[Experience]]&lt;23, "15-23  YEARS",Table4[[#This Row],[Experience]]&lt;30, "23-30 YEARS",Table4[[#This Row],[Experience]]&gt;=30, "30+ YEARS")</f>
        <v>7-15 YEARS</v>
      </c>
      <c r="J290">
        <v>108456</v>
      </c>
      <c r="K290" s="5" t="str" cm="1">
        <f t="array" ref="K290">_xlfn.IFS(Table4[[#This Row],[Salary]]&lt;50000, "0-50K",Table4[[#This Row],[Salary]]&lt;100000, "50K-1L",Table4[[#This Row],[Salary]]&lt;150000, "1L-1.5L",Table4[[#This Row],[Salary]]&lt;200000, "1.5-2L",Table4[[#This Row],[Salary]]&gt;=200000, "2L+")</f>
        <v>1L-1.5L</v>
      </c>
    </row>
    <row r="291" spans="1:11" x14ac:dyDescent="0.3">
      <c r="A291">
        <v>289</v>
      </c>
      <c r="B291">
        <v>1390</v>
      </c>
      <c r="C291">
        <v>62</v>
      </c>
      <c r="D291" s="5" t="str" cm="1">
        <f t="array" ref="D291">_xlfn.IFS(C291&lt;30, "20-29",C291&lt;40, "30-39",C291&lt;50, "40-49",C291&lt;60, "50-59",Table4[[#This Row],[Age]]&gt;=60, "60+"  )</f>
        <v>60+</v>
      </c>
      <c r="E291" t="s">
        <v>10</v>
      </c>
      <c r="F291" t="b">
        <v>1</v>
      </c>
      <c r="G291" s="1">
        <v>39163</v>
      </c>
      <c r="H291">
        <v>34</v>
      </c>
      <c r="I291" s="5" t="str" cm="1">
        <f t="array" ref="I291">_xlfn.IFS(Table4[[#This Row],[Experience]]&lt;15, "7-15 YEARS",Table4[[#This Row],[Experience]]&lt;23, "15-23  YEARS",Table4[[#This Row],[Experience]]&lt;30, "23-30 YEARS",Table4[[#This Row],[Experience]]&gt;=30, "30+ YEARS")</f>
        <v>30+ YEARS</v>
      </c>
      <c r="J291">
        <v>266769</v>
      </c>
      <c r="K291" s="5" t="str" cm="1">
        <f t="array" ref="K291">_xlfn.IFS(Table4[[#This Row],[Salary]]&lt;50000, "0-50K",Table4[[#This Row],[Salary]]&lt;100000, "50K-1L",Table4[[#This Row],[Salary]]&lt;150000, "1L-1.5L",Table4[[#This Row],[Salary]]&lt;200000, "1.5-2L",Table4[[#This Row],[Salary]]&gt;=200000, "2L+")</f>
        <v>2L+</v>
      </c>
    </row>
    <row r="292" spans="1:11" x14ac:dyDescent="0.3">
      <c r="A292">
        <v>290</v>
      </c>
      <c r="B292">
        <v>3432</v>
      </c>
      <c r="C292">
        <v>60</v>
      </c>
      <c r="D292" s="5" t="str" cm="1">
        <f t="array" ref="D292">_xlfn.IFS(C292&lt;30, "20-29",C292&lt;40, "30-39",C292&lt;50, "40-49",C292&lt;60, "50-59",Table4[[#This Row],[Age]]&gt;=60, "60+"  )</f>
        <v>60+</v>
      </c>
      <c r="E292" t="s">
        <v>10</v>
      </c>
      <c r="F292" t="b">
        <v>0</v>
      </c>
      <c r="G292" s="1">
        <v>33015</v>
      </c>
      <c r="H292">
        <v>28</v>
      </c>
      <c r="I292" s="5" t="str" cm="1">
        <f t="array" ref="I292">_xlfn.IFS(Table4[[#This Row],[Experience]]&lt;15, "7-15 YEARS",Table4[[#This Row],[Experience]]&lt;23, "15-23  YEARS",Table4[[#This Row],[Experience]]&lt;30, "23-30 YEARS",Table4[[#This Row],[Experience]]&gt;=30, "30+ YEARS")</f>
        <v>23-30 YEARS</v>
      </c>
      <c r="J292">
        <v>220626</v>
      </c>
      <c r="K292" s="5" t="str" cm="1">
        <f t="array" ref="K292">_xlfn.IFS(Table4[[#This Row],[Salary]]&lt;50000, "0-50K",Table4[[#This Row],[Salary]]&lt;100000, "50K-1L",Table4[[#This Row],[Salary]]&lt;150000, "1L-1.5L",Table4[[#This Row],[Salary]]&lt;200000, "1.5-2L",Table4[[#This Row],[Salary]]&gt;=200000, "2L+")</f>
        <v>2L+</v>
      </c>
    </row>
    <row r="293" spans="1:11" x14ac:dyDescent="0.3">
      <c r="A293">
        <v>291</v>
      </c>
      <c r="B293">
        <v>6674</v>
      </c>
      <c r="C293">
        <v>27</v>
      </c>
      <c r="D293" s="5" t="str" cm="1">
        <f t="array" ref="D293">_xlfn.IFS(C293&lt;30, "20-29",C293&lt;40, "30-39",C293&lt;50, "40-49",C293&lt;60, "50-59",Table4[[#This Row],[Age]]&gt;=60, "60+"  )</f>
        <v>20-29</v>
      </c>
      <c r="E293" t="s">
        <v>9</v>
      </c>
      <c r="F293" t="b">
        <v>1</v>
      </c>
      <c r="G293" s="1">
        <v>40099</v>
      </c>
      <c r="H293">
        <v>11</v>
      </c>
      <c r="I293" s="5" t="str" cm="1">
        <f t="array" ref="I293">_xlfn.IFS(Table4[[#This Row],[Experience]]&lt;15, "7-15 YEARS",Table4[[#This Row],[Experience]]&lt;23, "15-23  YEARS",Table4[[#This Row],[Experience]]&lt;30, "23-30 YEARS",Table4[[#This Row],[Experience]]&gt;=30, "30+ YEARS")</f>
        <v>7-15 YEARS</v>
      </c>
      <c r="J293">
        <v>87783</v>
      </c>
      <c r="K293" s="5" t="str" cm="1">
        <f t="array" ref="K293">_xlfn.IFS(Table4[[#This Row],[Salary]]&lt;50000, "0-50K",Table4[[#This Row],[Salary]]&lt;100000, "50K-1L",Table4[[#This Row],[Salary]]&lt;150000, "1L-1.5L",Table4[[#This Row],[Salary]]&lt;200000, "1.5-2L",Table4[[#This Row],[Salary]]&gt;=200000, "2L+")</f>
        <v>50K-1L</v>
      </c>
    </row>
    <row r="294" spans="1:11" x14ac:dyDescent="0.3">
      <c r="A294">
        <v>292</v>
      </c>
      <c r="B294">
        <v>9406</v>
      </c>
      <c r="C294">
        <v>55</v>
      </c>
      <c r="D294" s="5" t="str" cm="1">
        <f t="array" ref="D294">_xlfn.IFS(C294&lt;30, "20-29",C294&lt;40, "30-39",C294&lt;50, "40-49",C294&lt;60, "50-59",Table4[[#This Row],[Age]]&gt;=60, "60+"  )</f>
        <v>50-59</v>
      </c>
      <c r="E294" t="s">
        <v>11</v>
      </c>
      <c r="F294" t="b">
        <v>1</v>
      </c>
      <c r="G294" s="1">
        <v>36336</v>
      </c>
      <c r="H294">
        <v>28</v>
      </c>
      <c r="I294" s="5" t="str" cm="1">
        <f t="array" ref="I294">_xlfn.IFS(Table4[[#This Row],[Experience]]&lt;15, "7-15 YEARS",Table4[[#This Row],[Experience]]&lt;23, "15-23  YEARS",Table4[[#This Row],[Experience]]&lt;30, "23-30 YEARS",Table4[[#This Row],[Experience]]&gt;=30, "30+ YEARS")</f>
        <v>23-30 YEARS</v>
      </c>
      <c r="J294">
        <v>222819</v>
      </c>
      <c r="K294" s="5" t="str" cm="1">
        <f t="array" ref="K294">_xlfn.IFS(Table4[[#This Row],[Salary]]&lt;50000, "0-50K",Table4[[#This Row],[Salary]]&lt;100000, "50K-1L",Table4[[#This Row],[Salary]]&lt;150000, "1L-1.5L",Table4[[#This Row],[Salary]]&lt;200000, "1.5-2L",Table4[[#This Row],[Salary]]&gt;=200000, "2L+")</f>
        <v>2L+</v>
      </c>
    </row>
    <row r="295" spans="1:11" x14ac:dyDescent="0.3">
      <c r="A295">
        <v>293</v>
      </c>
      <c r="B295">
        <v>5410</v>
      </c>
      <c r="C295">
        <v>38</v>
      </c>
      <c r="D295" s="5" t="str" cm="1">
        <f t="array" ref="D295">_xlfn.IFS(C295&lt;30, "20-29",C295&lt;40, "30-39",C295&lt;50, "40-49",C295&lt;60, "50-59",Table4[[#This Row],[Age]]&gt;=60, "60+"  )</f>
        <v>30-39</v>
      </c>
      <c r="E295" t="s">
        <v>8</v>
      </c>
      <c r="F295" t="b">
        <v>0</v>
      </c>
      <c r="G295" s="1">
        <v>41760</v>
      </c>
      <c r="H295">
        <v>19</v>
      </c>
      <c r="I295" s="5" t="str" cm="1">
        <f t="array" ref="I295">_xlfn.IFS(Table4[[#This Row],[Experience]]&lt;15, "7-15 YEARS",Table4[[#This Row],[Experience]]&lt;23, "15-23  YEARS",Table4[[#This Row],[Experience]]&lt;30, "23-30 YEARS",Table4[[#This Row],[Experience]]&gt;=30, "30+ YEARS")</f>
        <v>15-23  YEARS</v>
      </c>
      <c r="J295">
        <v>156891</v>
      </c>
      <c r="K295" s="5" t="str" cm="1">
        <f t="array" ref="K295">_xlfn.IFS(Table4[[#This Row],[Salary]]&lt;50000, "0-50K",Table4[[#This Row],[Salary]]&lt;100000, "50K-1L",Table4[[#This Row],[Salary]]&lt;150000, "1L-1.5L",Table4[[#This Row],[Salary]]&lt;200000, "1.5-2L",Table4[[#This Row],[Salary]]&gt;=200000, "2L+")</f>
        <v>1.5-2L</v>
      </c>
    </row>
    <row r="296" spans="1:11" x14ac:dyDescent="0.3">
      <c r="A296">
        <v>294</v>
      </c>
      <c r="B296">
        <v>1985</v>
      </c>
      <c r="C296">
        <v>41</v>
      </c>
      <c r="D296" s="5" t="str" cm="1">
        <f t="array" ref="D296">_xlfn.IFS(C296&lt;30, "20-29",C296&lt;40, "30-39",C296&lt;50, "40-49",C296&lt;60, "50-59",Table4[[#This Row],[Age]]&gt;=60, "60+"  )</f>
        <v>40-49</v>
      </c>
      <c r="E296" t="s">
        <v>10</v>
      </c>
      <c r="F296" t="b">
        <v>1</v>
      </c>
      <c r="G296" s="1">
        <v>45136</v>
      </c>
      <c r="H296">
        <v>20</v>
      </c>
      <c r="I296" s="5" t="str" cm="1">
        <f t="array" ref="I296">_xlfn.IFS(Table4[[#This Row],[Experience]]&lt;15, "7-15 YEARS",Table4[[#This Row],[Experience]]&lt;23, "15-23  YEARS",Table4[[#This Row],[Experience]]&lt;30, "23-30 YEARS",Table4[[#This Row],[Experience]]&gt;=30, "30+ YEARS")</f>
        <v>15-23  YEARS</v>
      </c>
      <c r="J296">
        <v>166454</v>
      </c>
      <c r="K296" s="5" t="str" cm="1">
        <f t="array" ref="K296">_xlfn.IFS(Table4[[#This Row],[Salary]]&lt;50000, "0-50K",Table4[[#This Row],[Salary]]&lt;100000, "50K-1L",Table4[[#This Row],[Salary]]&lt;150000, "1L-1.5L",Table4[[#This Row],[Salary]]&lt;200000, "1.5-2L",Table4[[#This Row],[Salary]]&gt;=200000, "2L+")</f>
        <v>1.5-2L</v>
      </c>
    </row>
    <row r="297" spans="1:11" x14ac:dyDescent="0.3">
      <c r="A297">
        <v>295</v>
      </c>
      <c r="B297">
        <v>1586</v>
      </c>
      <c r="C297">
        <v>59</v>
      </c>
      <c r="D297" s="5" t="str" cm="1">
        <f t="array" ref="D297">_xlfn.IFS(C297&lt;30, "20-29",C297&lt;40, "30-39",C297&lt;50, "40-49",C297&lt;60, "50-59",Table4[[#This Row],[Age]]&gt;=60, "60+"  )</f>
        <v>50-59</v>
      </c>
      <c r="E297" t="s">
        <v>8</v>
      </c>
      <c r="F297" t="b">
        <v>0</v>
      </c>
      <c r="G297" s="1">
        <v>29064</v>
      </c>
      <c r="H297">
        <v>28</v>
      </c>
      <c r="I297" s="5" t="str" cm="1">
        <f t="array" ref="I297">_xlfn.IFS(Table4[[#This Row],[Experience]]&lt;15, "7-15 YEARS",Table4[[#This Row],[Experience]]&lt;23, "15-23  YEARS",Table4[[#This Row],[Experience]]&lt;30, "23-30 YEARS",Table4[[#This Row],[Experience]]&gt;=30, "30+ YEARS")</f>
        <v>23-30 YEARS</v>
      </c>
      <c r="J297">
        <v>219860</v>
      </c>
      <c r="K297" s="5" t="str" cm="1">
        <f t="array" ref="K297">_xlfn.IFS(Table4[[#This Row],[Salary]]&lt;50000, "0-50K",Table4[[#This Row],[Salary]]&lt;100000, "50K-1L",Table4[[#This Row],[Salary]]&lt;150000, "1L-1.5L",Table4[[#This Row],[Salary]]&lt;200000, "1.5-2L",Table4[[#This Row],[Salary]]&gt;=200000, "2L+")</f>
        <v>2L+</v>
      </c>
    </row>
    <row r="298" spans="1:11" x14ac:dyDescent="0.3">
      <c r="A298">
        <v>296</v>
      </c>
      <c r="B298">
        <v>6512</v>
      </c>
      <c r="C298">
        <v>32</v>
      </c>
      <c r="D298" s="5" t="str" cm="1">
        <f t="array" ref="D298">_xlfn.IFS(C298&lt;30, "20-29",C298&lt;40, "30-39",C298&lt;50, "40-49",C298&lt;60, "50-59",Table4[[#This Row],[Age]]&gt;=60, "60+"  )</f>
        <v>30-39</v>
      </c>
      <c r="E298" t="s">
        <v>11</v>
      </c>
      <c r="F298" t="b">
        <v>0</v>
      </c>
      <c r="G298" s="1">
        <v>29698</v>
      </c>
      <c r="H298">
        <v>14</v>
      </c>
      <c r="I298" s="5" t="str" cm="1">
        <f t="array" ref="I298">_xlfn.IFS(Table4[[#This Row],[Experience]]&lt;15, "7-15 YEARS",Table4[[#This Row],[Experience]]&lt;23, "15-23  YEARS",Table4[[#This Row],[Experience]]&lt;30, "23-30 YEARS",Table4[[#This Row],[Experience]]&gt;=30, "30+ YEARS")</f>
        <v>7-15 YEARS</v>
      </c>
      <c r="J298">
        <v>119827</v>
      </c>
      <c r="K298" s="5" t="str" cm="1">
        <f t="array" ref="K298">_xlfn.IFS(Table4[[#This Row],[Salary]]&lt;50000, "0-50K",Table4[[#This Row],[Salary]]&lt;100000, "50K-1L",Table4[[#This Row],[Salary]]&lt;150000, "1L-1.5L",Table4[[#This Row],[Salary]]&lt;200000, "1.5-2L",Table4[[#This Row],[Salary]]&gt;=200000, "2L+")</f>
        <v>1L-1.5L</v>
      </c>
    </row>
    <row r="299" spans="1:11" x14ac:dyDescent="0.3">
      <c r="A299">
        <v>297</v>
      </c>
      <c r="B299">
        <v>4130</v>
      </c>
      <c r="C299">
        <v>50</v>
      </c>
      <c r="D299" s="5" t="str" cm="1">
        <f t="array" ref="D299">_xlfn.IFS(C299&lt;30, "20-29",C299&lt;40, "30-39",C299&lt;50, "40-49",C299&lt;60, "50-59",Table4[[#This Row],[Age]]&gt;=60, "60+"  )</f>
        <v>50-59</v>
      </c>
      <c r="E299" t="s">
        <v>12</v>
      </c>
      <c r="F299" t="b">
        <v>1</v>
      </c>
      <c r="G299" s="1">
        <v>25690</v>
      </c>
      <c r="H299">
        <v>25</v>
      </c>
      <c r="I299" s="5" t="str" cm="1">
        <f t="array" ref="I299">_xlfn.IFS(Table4[[#This Row],[Experience]]&lt;15, "7-15 YEARS",Table4[[#This Row],[Experience]]&lt;23, "15-23  YEARS",Table4[[#This Row],[Experience]]&lt;30, "23-30 YEARS",Table4[[#This Row],[Experience]]&gt;=30, "30+ YEARS")</f>
        <v>23-30 YEARS</v>
      </c>
      <c r="J299">
        <v>200843</v>
      </c>
      <c r="K299" s="5" t="str" cm="1">
        <f t="array" ref="K299">_xlfn.IFS(Table4[[#This Row],[Salary]]&lt;50000, "0-50K",Table4[[#This Row],[Salary]]&lt;100000, "50K-1L",Table4[[#This Row],[Salary]]&lt;150000, "1L-1.5L",Table4[[#This Row],[Salary]]&lt;200000, "1.5-2L",Table4[[#This Row],[Salary]]&gt;=200000, "2L+")</f>
        <v>2L+</v>
      </c>
    </row>
    <row r="300" spans="1:11" x14ac:dyDescent="0.3">
      <c r="A300">
        <v>298</v>
      </c>
      <c r="B300">
        <v>1545</v>
      </c>
      <c r="C300">
        <v>34</v>
      </c>
      <c r="D300" s="5" t="str" cm="1">
        <f t="array" ref="D300">_xlfn.IFS(C300&lt;30, "20-29",C300&lt;40, "30-39",C300&lt;50, "40-49",C300&lt;60, "50-59",Table4[[#This Row],[Age]]&gt;=60, "60+"  )</f>
        <v>30-39</v>
      </c>
      <c r="E300" t="s">
        <v>9</v>
      </c>
      <c r="F300" t="b">
        <v>1</v>
      </c>
      <c r="G300" s="1">
        <v>42380</v>
      </c>
      <c r="H300">
        <v>17</v>
      </c>
      <c r="I300" s="5" t="str" cm="1">
        <f t="array" ref="I300">_xlfn.IFS(Table4[[#This Row],[Experience]]&lt;15, "7-15 YEARS",Table4[[#This Row],[Experience]]&lt;23, "15-23  YEARS",Table4[[#This Row],[Experience]]&lt;30, "23-30 YEARS",Table4[[#This Row],[Experience]]&gt;=30, "30+ YEARS")</f>
        <v>15-23  YEARS</v>
      </c>
      <c r="J300">
        <v>134412</v>
      </c>
      <c r="K300" s="5" t="str" cm="1">
        <f t="array" ref="K300">_xlfn.IFS(Table4[[#This Row],[Salary]]&lt;50000, "0-50K",Table4[[#This Row],[Salary]]&lt;100000, "50K-1L",Table4[[#This Row],[Salary]]&lt;150000, "1L-1.5L",Table4[[#This Row],[Salary]]&lt;200000, "1.5-2L",Table4[[#This Row],[Salary]]&gt;=200000, "2L+")</f>
        <v>1L-1.5L</v>
      </c>
    </row>
    <row r="301" spans="1:11" x14ac:dyDescent="0.3">
      <c r="A301">
        <v>299</v>
      </c>
      <c r="B301">
        <v>8876</v>
      </c>
      <c r="C301">
        <v>58</v>
      </c>
      <c r="D301" s="5" t="str" cm="1">
        <f t="array" ref="D301">_xlfn.IFS(C301&lt;30, "20-29",C301&lt;40, "30-39",C301&lt;50, "40-49",C301&lt;60, "50-59",Table4[[#This Row],[Age]]&gt;=60, "60+"  )</f>
        <v>50-59</v>
      </c>
      <c r="E301" t="s">
        <v>9</v>
      </c>
      <c r="F301" t="b">
        <v>1</v>
      </c>
      <c r="G301" s="1">
        <v>35975</v>
      </c>
      <c r="H301">
        <v>29</v>
      </c>
      <c r="I301" s="5" t="str" cm="1">
        <f t="array" ref="I301">_xlfn.IFS(Table4[[#This Row],[Experience]]&lt;15, "7-15 YEARS",Table4[[#This Row],[Experience]]&lt;23, "15-23  YEARS",Table4[[#This Row],[Experience]]&lt;30, "23-30 YEARS",Table4[[#This Row],[Experience]]&gt;=30, "30+ YEARS")</f>
        <v>23-30 YEARS</v>
      </c>
      <c r="J301">
        <v>232716</v>
      </c>
      <c r="K301" s="5" t="str" cm="1">
        <f t="array" ref="K301">_xlfn.IFS(Table4[[#This Row],[Salary]]&lt;50000, "0-50K",Table4[[#This Row],[Salary]]&lt;100000, "50K-1L",Table4[[#This Row],[Salary]]&lt;150000, "1L-1.5L",Table4[[#This Row],[Salary]]&lt;200000, "1.5-2L",Table4[[#This Row],[Salary]]&gt;=200000, "2L+")</f>
        <v>2L+</v>
      </c>
    </row>
    <row r="302" spans="1:11" x14ac:dyDescent="0.3">
      <c r="A302">
        <v>300</v>
      </c>
      <c r="B302">
        <v>6444</v>
      </c>
      <c r="C302">
        <v>23</v>
      </c>
      <c r="D302" s="5" t="str" cm="1">
        <f t="array" ref="D302">_xlfn.IFS(C302&lt;30, "20-29",C302&lt;40, "30-39",C302&lt;50, "40-49",C302&lt;60, "50-59",Table4[[#This Row],[Age]]&gt;=60, "60+"  )</f>
        <v>20-29</v>
      </c>
      <c r="E302" t="s">
        <v>8</v>
      </c>
      <c r="F302" t="b">
        <v>0</v>
      </c>
      <c r="G302" s="1">
        <v>29502</v>
      </c>
      <c r="H302">
        <v>13</v>
      </c>
      <c r="I302" s="5" t="str" cm="1">
        <f t="array" ref="I302">_xlfn.IFS(Table4[[#This Row],[Experience]]&lt;15, "7-15 YEARS",Table4[[#This Row],[Experience]]&lt;23, "15-23  YEARS",Table4[[#This Row],[Experience]]&lt;30, "23-30 YEARS",Table4[[#This Row],[Experience]]&gt;=30, "30+ YEARS")</f>
        <v>7-15 YEARS</v>
      </c>
      <c r="J302">
        <v>103933</v>
      </c>
      <c r="K302" s="5" t="str" cm="1">
        <f t="array" ref="K302">_xlfn.IFS(Table4[[#This Row],[Salary]]&lt;50000, "0-50K",Table4[[#This Row],[Salary]]&lt;100000, "50K-1L",Table4[[#This Row],[Salary]]&lt;150000, "1L-1.5L",Table4[[#This Row],[Salary]]&lt;200000, "1.5-2L",Table4[[#This Row],[Salary]]&gt;=200000, "2L+")</f>
        <v>1L-1.5L</v>
      </c>
    </row>
    <row r="303" spans="1:11" x14ac:dyDescent="0.3">
      <c r="A303">
        <v>301</v>
      </c>
      <c r="B303">
        <v>6852</v>
      </c>
      <c r="C303">
        <v>25</v>
      </c>
      <c r="D303" s="5" t="str" cm="1">
        <f t="array" ref="D303">_xlfn.IFS(C303&lt;30, "20-29",C303&lt;40, "30-39",C303&lt;50, "40-49",C303&lt;60, "50-59",Table4[[#This Row],[Age]]&gt;=60, "60+"  )</f>
        <v>20-29</v>
      </c>
      <c r="E303" t="s">
        <v>9</v>
      </c>
      <c r="F303" t="b">
        <v>0</v>
      </c>
      <c r="G303" s="1">
        <v>40097</v>
      </c>
      <c r="H303">
        <v>12</v>
      </c>
      <c r="I303" s="5" t="str" cm="1">
        <f t="array" ref="I303">_xlfn.IFS(Table4[[#This Row],[Experience]]&lt;15, "7-15 YEARS",Table4[[#This Row],[Experience]]&lt;23, "15-23  YEARS",Table4[[#This Row],[Experience]]&lt;30, "23-30 YEARS",Table4[[#This Row],[Experience]]&gt;=30, "30+ YEARS")</f>
        <v>7-15 YEARS</v>
      </c>
      <c r="J303">
        <v>92047</v>
      </c>
      <c r="K303" s="5" t="str" cm="1">
        <f t="array" ref="K303">_xlfn.IFS(Table4[[#This Row],[Salary]]&lt;50000, "0-50K",Table4[[#This Row],[Salary]]&lt;100000, "50K-1L",Table4[[#This Row],[Salary]]&lt;150000, "1L-1.5L",Table4[[#This Row],[Salary]]&lt;200000, "1.5-2L",Table4[[#This Row],[Salary]]&gt;=200000, "2L+")</f>
        <v>50K-1L</v>
      </c>
    </row>
    <row r="304" spans="1:11" x14ac:dyDescent="0.3">
      <c r="A304">
        <v>302</v>
      </c>
      <c r="B304">
        <v>7321</v>
      </c>
      <c r="C304">
        <v>44</v>
      </c>
      <c r="D304" s="5" t="str" cm="1">
        <f t="array" ref="D304">_xlfn.IFS(C304&lt;30, "20-29",C304&lt;40, "30-39",C304&lt;50, "40-49",C304&lt;60, "50-59",Table4[[#This Row],[Age]]&gt;=60, "60+"  )</f>
        <v>40-49</v>
      </c>
      <c r="E304" t="s">
        <v>9</v>
      </c>
      <c r="F304" t="b">
        <v>1</v>
      </c>
      <c r="G304" s="1">
        <v>41570</v>
      </c>
      <c r="H304">
        <v>22</v>
      </c>
      <c r="I304" s="5" t="str" cm="1">
        <f t="array" ref="I304">_xlfn.IFS(Table4[[#This Row],[Experience]]&lt;15, "7-15 YEARS",Table4[[#This Row],[Experience]]&lt;23, "15-23  YEARS",Table4[[#This Row],[Experience]]&lt;30, "23-30 YEARS",Table4[[#This Row],[Experience]]&gt;=30, "30+ YEARS")</f>
        <v>15-23  YEARS</v>
      </c>
      <c r="J304">
        <v>172886</v>
      </c>
      <c r="K304" s="5" t="str" cm="1">
        <f t="array" ref="K304">_xlfn.IFS(Table4[[#This Row],[Salary]]&lt;50000, "0-50K",Table4[[#This Row],[Salary]]&lt;100000, "50K-1L",Table4[[#This Row],[Salary]]&lt;150000, "1L-1.5L",Table4[[#This Row],[Salary]]&lt;200000, "1.5-2L",Table4[[#This Row],[Salary]]&gt;=200000, "2L+")</f>
        <v>1.5-2L</v>
      </c>
    </row>
    <row r="305" spans="1:11" x14ac:dyDescent="0.3">
      <c r="A305">
        <v>303</v>
      </c>
      <c r="B305">
        <v>5556</v>
      </c>
      <c r="C305">
        <v>37</v>
      </c>
      <c r="D305" s="5" t="str" cm="1">
        <f t="array" ref="D305">_xlfn.IFS(C305&lt;30, "20-29",C305&lt;40, "30-39",C305&lt;50, "40-49",C305&lt;60, "50-59",Table4[[#This Row],[Age]]&gt;=60, "60+"  )</f>
        <v>30-39</v>
      </c>
      <c r="E305" t="s">
        <v>12</v>
      </c>
      <c r="F305" t="b">
        <v>1</v>
      </c>
      <c r="G305" s="1">
        <v>29552</v>
      </c>
      <c r="H305">
        <v>17</v>
      </c>
      <c r="I305" s="5" t="str" cm="1">
        <f t="array" ref="I305">_xlfn.IFS(Table4[[#This Row],[Experience]]&lt;15, "7-15 YEARS",Table4[[#This Row],[Experience]]&lt;23, "15-23  YEARS",Table4[[#This Row],[Experience]]&lt;30, "23-30 YEARS",Table4[[#This Row],[Experience]]&gt;=30, "30+ YEARS")</f>
        <v>15-23  YEARS</v>
      </c>
      <c r="J305">
        <v>138827</v>
      </c>
      <c r="K305" s="5" t="str" cm="1">
        <f t="array" ref="K305">_xlfn.IFS(Table4[[#This Row],[Salary]]&lt;50000, "0-50K",Table4[[#This Row],[Salary]]&lt;100000, "50K-1L",Table4[[#This Row],[Salary]]&lt;150000, "1L-1.5L",Table4[[#This Row],[Salary]]&lt;200000, "1.5-2L",Table4[[#This Row],[Salary]]&gt;=200000, "2L+")</f>
        <v>1L-1.5L</v>
      </c>
    </row>
    <row r="306" spans="1:11" x14ac:dyDescent="0.3">
      <c r="A306">
        <v>304</v>
      </c>
      <c r="B306">
        <v>2377</v>
      </c>
      <c r="C306">
        <v>46</v>
      </c>
      <c r="D306" s="5" t="str" cm="1">
        <f t="array" ref="D306">_xlfn.IFS(C306&lt;30, "20-29",C306&lt;40, "30-39",C306&lt;50, "40-49",C306&lt;60, "50-59",Table4[[#This Row],[Age]]&gt;=60, "60+"  )</f>
        <v>40-49</v>
      </c>
      <c r="E306" t="s">
        <v>8</v>
      </c>
      <c r="F306" t="b">
        <v>1</v>
      </c>
      <c r="G306" s="1">
        <v>39004</v>
      </c>
      <c r="H306">
        <v>22</v>
      </c>
      <c r="I306" s="5" t="str" cm="1">
        <f t="array" ref="I306">_xlfn.IFS(Table4[[#This Row],[Experience]]&lt;15, "7-15 YEARS",Table4[[#This Row],[Experience]]&lt;23, "15-23  YEARS",Table4[[#This Row],[Experience]]&lt;30, "23-30 YEARS",Table4[[#This Row],[Experience]]&gt;=30, "30+ YEARS")</f>
        <v>15-23  YEARS</v>
      </c>
      <c r="J306">
        <v>180896</v>
      </c>
      <c r="K306" s="5" t="str" cm="1">
        <f t="array" ref="K306">_xlfn.IFS(Table4[[#This Row],[Salary]]&lt;50000, "0-50K",Table4[[#This Row],[Salary]]&lt;100000, "50K-1L",Table4[[#This Row],[Salary]]&lt;150000, "1L-1.5L",Table4[[#This Row],[Salary]]&lt;200000, "1.5-2L",Table4[[#This Row],[Salary]]&gt;=200000, "2L+")</f>
        <v>1.5-2L</v>
      </c>
    </row>
    <row r="307" spans="1:11" x14ac:dyDescent="0.3">
      <c r="A307">
        <v>305</v>
      </c>
      <c r="B307">
        <v>1169</v>
      </c>
      <c r="C307">
        <v>39</v>
      </c>
      <c r="D307" s="5" t="str" cm="1">
        <f t="array" ref="D307">_xlfn.IFS(C307&lt;30, "20-29",C307&lt;40, "30-39",C307&lt;50, "40-49",C307&lt;60, "50-59",Table4[[#This Row],[Age]]&gt;=60, "60+"  )</f>
        <v>30-39</v>
      </c>
      <c r="E307" t="s">
        <v>9</v>
      </c>
      <c r="F307" t="b">
        <v>0</v>
      </c>
      <c r="G307" s="1">
        <v>34483</v>
      </c>
      <c r="H307">
        <v>17</v>
      </c>
      <c r="I307" s="5" t="str" cm="1">
        <f t="array" ref="I307">_xlfn.IFS(Table4[[#This Row],[Experience]]&lt;15, "7-15 YEARS",Table4[[#This Row],[Experience]]&lt;23, "15-23  YEARS",Table4[[#This Row],[Experience]]&lt;30, "23-30 YEARS",Table4[[#This Row],[Experience]]&gt;=30, "30+ YEARS")</f>
        <v>15-23  YEARS</v>
      </c>
      <c r="J307">
        <v>130190</v>
      </c>
      <c r="K307" s="5" t="str" cm="1">
        <f t="array" ref="K307">_xlfn.IFS(Table4[[#This Row],[Salary]]&lt;50000, "0-50K",Table4[[#This Row],[Salary]]&lt;100000, "50K-1L",Table4[[#This Row],[Salary]]&lt;150000, "1L-1.5L",Table4[[#This Row],[Salary]]&lt;200000, "1.5-2L",Table4[[#This Row],[Salary]]&gt;=200000, "2L+")</f>
        <v>1L-1.5L</v>
      </c>
    </row>
    <row r="308" spans="1:11" x14ac:dyDescent="0.3">
      <c r="A308">
        <v>306</v>
      </c>
      <c r="B308">
        <v>3130</v>
      </c>
      <c r="C308">
        <v>58</v>
      </c>
      <c r="D308" s="5" t="str" cm="1">
        <f t="array" ref="D308">_xlfn.IFS(C308&lt;30, "20-29",C308&lt;40, "30-39",C308&lt;50, "40-49",C308&lt;60, "50-59",Table4[[#This Row],[Age]]&gt;=60, "60+"  )</f>
        <v>50-59</v>
      </c>
      <c r="E308" t="s">
        <v>12</v>
      </c>
      <c r="F308" t="b">
        <v>1</v>
      </c>
      <c r="G308" s="1">
        <v>25658</v>
      </c>
      <c r="H308">
        <v>26</v>
      </c>
      <c r="I308" s="5" t="str" cm="1">
        <f t="array" ref="I308">_xlfn.IFS(Table4[[#This Row],[Experience]]&lt;15, "7-15 YEARS",Table4[[#This Row],[Experience]]&lt;23, "15-23  YEARS",Table4[[#This Row],[Experience]]&lt;30, "23-30 YEARS",Table4[[#This Row],[Experience]]&gt;=30, "30+ YEARS")</f>
        <v>23-30 YEARS</v>
      </c>
      <c r="J308">
        <v>215277</v>
      </c>
      <c r="K308" s="5" t="str" cm="1">
        <f t="array" ref="K308">_xlfn.IFS(Table4[[#This Row],[Salary]]&lt;50000, "0-50K",Table4[[#This Row],[Salary]]&lt;100000, "50K-1L",Table4[[#This Row],[Salary]]&lt;150000, "1L-1.5L",Table4[[#This Row],[Salary]]&lt;200000, "1.5-2L",Table4[[#This Row],[Salary]]&gt;=200000, "2L+")</f>
        <v>2L+</v>
      </c>
    </row>
    <row r="309" spans="1:11" x14ac:dyDescent="0.3">
      <c r="A309">
        <v>307</v>
      </c>
      <c r="B309">
        <v>8296</v>
      </c>
      <c r="C309">
        <v>47</v>
      </c>
      <c r="D309" s="5" t="str" cm="1">
        <f t="array" ref="D309">_xlfn.IFS(C309&lt;30, "20-29",C309&lt;40, "30-39",C309&lt;50, "40-49",C309&lt;60, "50-59",Table4[[#This Row],[Age]]&gt;=60, "60+"  )</f>
        <v>40-49</v>
      </c>
      <c r="E309" t="s">
        <v>10</v>
      </c>
      <c r="F309" t="b">
        <v>1</v>
      </c>
      <c r="G309" s="1">
        <v>27344</v>
      </c>
      <c r="H309">
        <v>26</v>
      </c>
      <c r="I309" s="5" t="str" cm="1">
        <f t="array" ref="I309">_xlfn.IFS(Table4[[#This Row],[Experience]]&lt;15, "7-15 YEARS",Table4[[#This Row],[Experience]]&lt;23, "15-23  YEARS",Table4[[#This Row],[Experience]]&lt;30, "23-30 YEARS",Table4[[#This Row],[Experience]]&gt;=30, "30+ YEARS")</f>
        <v>23-30 YEARS</v>
      </c>
      <c r="J309">
        <v>206424</v>
      </c>
      <c r="K309" s="5" t="str" cm="1">
        <f t="array" ref="K309">_xlfn.IFS(Table4[[#This Row],[Salary]]&lt;50000, "0-50K",Table4[[#This Row],[Salary]]&lt;100000, "50K-1L",Table4[[#This Row],[Salary]]&lt;150000, "1L-1.5L",Table4[[#This Row],[Salary]]&lt;200000, "1.5-2L",Table4[[#This Row],[Salary]]&gt;=200000, "2L+")</f>
        <v>2L+</v>
      </c>
    </row>
    <row r="310" spans="1:11" x14ac:dyDescent="0.3">
      <c r="A310">
        <v>308</v>
      </c>
      <c r="B310">
        <v>1465</v>
      </c>
      <c r="C310">
        <v>49</v>
      </c>
      <c r="D310" s="5" t="str" cm="1">
        <f t="array" ref="D310">_xlfn.IFS(C310&lt;30, "20-29",C310&lt;40, "30-39",C310&lt;50, "40-49",C310&lt;60, "50-59",Table4[[#This Row],[Age]]&gt;=60, "60+"  )</f>
        <v>40-49</v>
      </c>
      <c r="E310" t="s">
        <v>11</v>
      </c>
      <c r="F310" t="b">
        <v>1</v>
      </c>
      <c r="G310" s="1">
        <v>39766</v>
      </c>
      <c r="H310">
        <v>23</v>
      </c>
      <c r="I310" s="5" t="str" cm="1">
        <f t="array" ref="I310">_xlfn.IFS(Table4[[#This Row],[Experience]]&lt;15, "7-15 YEARS",Table4[[#This Row],[Experience]]&lt;23, "15-23  YEARS",Table4[[#This Row],[Experience]]&lt;30, "23-30 YEARS",Table4[[#This Row],[Experience]]&gt;=30, "30+ YEARS")</f>
        <v>23-30 YEARS</v>
      </c>
      <c r="J310">
        <v>183184</v>
      </c>
      <c r="K310" s="5" t="str" cm="1">
        <f t="array" ref="K310">_xlfn.IFS(Table4[[#This Row],[Salary]]&lt;50000, "0-50K",Table4[[#This Row],[Salary]]&lt;100000, "50K-1L",Table4[[#This Row],[Salary]]&lt;150000, "1L-1.5L",Table4[[#This Row],[Salary]]&lt;200000, "1.5-2L",Table4[[#This Row],[Salary]]&gt;=200000, "2L+")</f>
        <v>1.5-2L</v>
      </c>
    </row>
    <row r="311" spans="1:11" x14ac:dyDescent="0.3">
      <c r="A311">
        <v>309</v>
      </c>
      <c r="B311">
        <v>2460</v>
      </c>
      <c r="C311">
        <v>49</v>
      </c>
      <c r="D311" s="5" t="str" cm="1">
        <f t="array" ref="D311">_xlfn.IFS(C311&lt;30, "20-29",C311&lt;40, "30-39",C311&lt;50, "40-49",C311&lt;60, "50-59",Table4[[#This Row],[Age]]&gt;=60, "60+"  )</f>
        <v>40-49</v>
      </c>
      <c r="E311" t="s">
        <v>10</v>
      </c>
      <c r="F311" t="b">
        <v>0</v>
      </c>
      <c r="G311" s="1">
        <v>44882</v>
      </c>
      <c r="H311">
        <v>27</v>
      </c>
      <c r="I311" s="5" t="str" cm="1">
        <f t="array" ref="I311">_xlfn.IFS(Table4[[#This Row],[Experience]]&lt;15, "7-15 YEARS",Table4[[#This Row],[Experience]]&lt;23, "15-23  YEARS",Table4[[#This Row],[Experience]]&lt;30, "23-30 YEARS",Table4[[#This Row],[Experience]]&gt;=30, "30+ YEARS")</f>
        <v>23-30 YEARS</v>
      </c>
      <c r="J311">
        <v>214559</v>
      </c>
      <c r="K311" s="5" t="str" cm="1">
        <f t="array" ref="K311">_xlfn.IFS(Table4[[#This Row],[Salary]]&lt;50000, "0-50K",Table4[[#This Row],[Salary]]&lt;100000, "50K-1L",Table4[[#This Row],[Salary]]&lt;150000, "1L-1.5L",Table4[[#This Row],[Salary]]&lt;200000, "1.5-2L",Table4[[#This Row],[Salary]]&gt;=200000, "2L+")</f>
        <v>2L+</v>
      </c>
    </row>
    <row r="312" spans="1:11" x14ac:dyDescent="0.3">
      <c r="A312">
        <v>310</v>
      </c>
      <c r="B312">
        <v>5218</v>
      </c>
      <c r="C312">
        <v>23</v>
      </c>
      <c r="D312" s="5" t="str" cm="1">
        <f t="array" ref="D312">_xlfn.IFS(C312&lt;30, "20-29",C312&lt;40, "30-39",C312&lt;50, "40-49",C312&lt;60, "50-59",Table4[[#This Row],[Age]]&gt;=60, "60+"  )</f>
        <v>20-29</v>
      </c>
      <c r="E312" t="s">
        <v>12</v>
      </c>
      <c r="F312" t="b">
        <v>0</v>
      </c>
      <c r="G312" s="1">
        <v>41064</v>
      </c>
      <c r="H312">
        <v>13</v>
      </c>
      <c r="I312" s="5" t="str" cm="1">
        <f t="array" ref="I312">_xlfn.IFS(Table4[[#This Row],[Experience]]&lt;15, "7-15 YEARS",Table4[[#This Row],[Experience]]&lt;23, "15-23  YEARS",Table4[[#This Row],[Experience]]&lt;30, "23-30 YEARS",Table4[[#This Row],[Experience]]&gt;=30, "30+ YEARS")</f>
        <v>7-15 YEARS</v>
      </c>
      <c r="J312">
        <v>108976</v>
      </c>
      <c r="K312" s="5" t="str" cm="1">
        <f t="array" ref="K312">_xlfn.IFS(Table4[[#This Row],[Salary]]&lt;50000, "0-50K",Table4[[#This Row],[Salary]]&lt;100000, "50K-1L",Table4[[#This Row],[Salary]]&lt;150000, "1L-1.5L",Table4[[#This Row],[Salary]]&lt;200000, "1.5-2L",Table4[[#This Row],[Salary]]&gt;=200000, "2L+")</f>
        <v>1L-1.5L</v>
      </c>
    </row>
    <row r="313" spans="1:11" x14ac:dyDescent="0.3">
      <c r="A313">
        <v>311</v>
      </c>
      <c r="B313">
        <v>2582</v>
      </c>
      <c r="C313">
        <v>61</v>
      </c>
      <c r="D313" s="5" t="str" cm="1">
        <f t="array" ref="D313">_xlfn.IFS(C313&lt;30, "20-29",C313&lt;40, "30-39",C313&lt;50, "40-49",C313&lt;60, "50-59",Table4[[#This Row],[Age]]&gt;=60, "60+"  )</f>
        <v>60+</v>
      </c>
      <c r="E313" t="s">
        <v>9</v>
      </c>
      <c r="F313" t="b">
        <v>0</v>
      </c>
      <c r="G313" s="1">
        <v>38435</v>
      </c>
      <c r="H313">
        <v>28</v>
      </c>
      <c r="I313" s="5" t="str" cm="1">
        <f t="array" ref="I313">_xlfn.IFS(Table4[[#This Row],[Experience]]&lt;15, "7-15 YEARS",Table4[[#This Row],[Experience]]&lt;23, "15-23  YEARS",Table4[[#This Row],[Experience]]&lt;30, "23-30 YEARS",Table4[[#This Row],[Experience]]&gt;=30, "30+ YEARS")</f>
        <v>23-30 YEARS</v>
      </c>
      <c r="J313">
        <v>219409</v>
      </c>
      <c r="K313" s="5" t="str" cm="1">
        <f t="array" ref="K313">_xlfn.IFS(Table4[[#This Row],[Salary]]&lt;50000, "0-50K",Table4[[#This Row],[Salary]]&lt;100000, "50K-1L",Table4[[#This Row],[Salary]]&lt;150000, "1L-1.5L",Table4[[#This Row],[Salary]]&lt;200000, "1.5-2L",Table4[[#This Row],[Salary]]&gt;=200000, "2L+")</f>
        <v>2L+</v>
      </c>
    </row>
    <row r="314" spans="1:11" x14ac:dyDescent="0.3">
      <c r="A314">
        <v>312</v>
      </c>
      <c r="B314">
        <v>7872</v>
      </c>
      <c r="C314">
        <v>60</v>
      </c>
      <c r="D314" s="5" t="str" cm="1">
        <f t="array" ref="D314">_xlfn.IFS(C314&lt;30, "20-29",C314&lt;40, "30-39",C314&lt;50, "40-49",C314&lt;60, "50-59",Table4[[#This Row],[Age]]&gt;=60, "60+"  )</f>
        <v>60+</v>
      </c>
      <c r="E314" t="s">
        <v>11</v>
      </c>
      <c r="F314" t="b">
        <v>1</v>
      </c>
      <c r="G314" s="1">
        <v>43143</v>
      </c>
      <c r="H314">
        <v>28</v>
      </c>
      <c r="I314" s="5" t="str" cm="1">
        <f t="array" ref="I314">_xlfn.IFS(Table4[[#This Row],[Experience]]&lt;15, "7-15 YEARS",Table4[[#This Row],[Experience]]&lt;23, "15-23  YEARS",Table4[[#This Row],[Experience]]&lt;30, "23-30 YEARS",Table4[[#This Row],[Experience]]&gt;=30, "30+ YEARS")</f>
        <v>23-30 YEARS</v>
      </c>
      <c r="J314">
        <v>227772</v>
      </c>
      <c r="K314" s="5" t="str" cm="1">
        <f t="array" ref="K314">_xlfn.IFS(Table4[[#This Row],[Salary]]&lt;50000, "0-50K",Table4[[#This Row],[Salary]]&lt;100000, "50K-1L",Table4[[#This Row],[Salary]]&lt;150000, "1L-1.5L",Table4[[#This Row],[Salary]]&lt;200000, "1.5-2L",Table4[[#This Row],[Salary]]&gt;=200000, "2L+")</f>
        <v>2L+</v>
      </c>
    </row>
    <row r="315" spans="1:11" x14ac:dyDescent="0.3">
      <c r="A315">
        <v>313</v>
      </c>
      <c r="B315">
        <v>1548</v>
      </c>
      <c r="C315">
        <v>47</v>
      </c>
      <c r="D315" s="5" t="str" cm="1">
        <f t="array" ref="D315">_xlfn.IFS(C315&lt;30, "20-29",C315&lt;40, "30-39",C315&lt;50, "40-49",C315&lt;60, "50-59",Table4[[#This Row],[Age]]&gt;=60, "60+"  )</f>
        <v>40-49</v>
      </c>
      <c r="E315" t="s">
        <v>11</v>
      </c>
      <c r="F315" t="b">
        <v>0</v>
      </c>
      <c r="G315" s="1">
        <v>26707</v>
      </c>
      <c r="H315">
        <v>21</v>
      </c>
      <c r="I315" s="5" t="str" cm="1">
        <f t="array" ref="I315">_xlfn.IFS(Table4[[#This Row],[Experience]]&lt;15, "7-15 YEARS",Table4[[#This Row],[Experience]]&lt;23, "15-23  YEARS",Table4[[#This Row],[Experience]]&lt;30, "23-30 YEARS",Table4[[#This Row],[Experience]]&gt;=30, "30+ YEARS")</f>
        <v>15-23  YEARS</v>
      </c>
      <c r="J315">
        <v>165170</v>
      </c>
      <c r="K315" s="5" t="str" cm="1">
        <f t="array" ref="K315">_xlfn.IFS(Table4[[#This Row],[Salary]]&lt;50000, "0-50K",Table4[[#This Row],[Salary]]&lt;100000, "50K-1L",Table4[[#This Row],[Salary]]&lt;150000, "1L-1.5L",Table4[[#This Row],[Salary]]&lt;200000, "1.5-2L",Table4[[#This Row],[Salary]]&gt;=200000, "2L+")</f>
        <v>1.5-2L</v>
      </c>
    </row>
    <row r="316" spans="1:11" x14ac:dyDescent="0.3">
      <c r="A316">
        <v>314</v>
      </c>
      <c r="B316">
        <v>6510</v>
      </c>
      <c r="C316">
        <v>64</v>
      </c>
      <c r="D316" s="5" t="str" cm="1">
        <f t="array" ref="D316">_xlfn.IFS(C316&lt;30, "20-29",C316&lt;40, "30-39",C316&lt;50, "40-49",C316&lt;60, "50-59",Table4[[#This Row],[Age]]&gt;=60, "60+"  )</f>
        <v>60+</v>
      </c>
      <c r="E316" t="s">
        <v>8</v>
      </c>
      <c r="F316" t="b">
        <v>0</v>
      </c>
      <c r="G316" s="1">
        <v>36007</v>
      </c>
      <c r="H316">
        <v>29</v>
      </c>
      <c r="I316" s="5" t="str" cm="1">
        <f t="array" ref="I316">_xlfn.IFS(Table4[[#This Row],[Experience]]&lt;15, "7-15 YEARS",Table4[[#This Row],[Experience]]&lt;23, "15-23  YEARS",Table4[[#This Row],[Experience]]&lt;30, "23-30 YEARS",Table4[[#This Row],[Experience]]&gt;=30, "30+ YEARS")</f>
        <v>23-30 YEARS</v>
      </c>
      <c r="J316">
        <v>234199</v>
      </c>
      <c r="K316" s="5" t="str" cm="1">
        <f t="array" ref="K316">_xlfn.IFS(Table4[[#This Row],[Salary]]&lt;50000, "0-50K",Table4[[#This Row],[Salary]]&lt;100000, "50K-1L",Table4[[#This Row],[Salary]]&lt;150000, "1L-1.5L",Table4[[#This Row],[Salary]]&lt;200000, "1.5-2L",Table4[[#This Row],[Salary]]&gt;=200000, "2L+")</f>
        <v>2L+</v>
      </c>
    </row>
    <row r="317" spans="1:11" x14ac:dyDescent="0.3">
      <c r="A317">
        <v>315</v>
      </c>
      <c r="B317">
        <v>6788</v>
      </c>
      <c r="C317">
        <v>48</v>
      </c>
      <c r="D317" s="5" t="str" cm="1">
        <f t="array" ref="D317">_xlfn.IFS(C317&lt;30, "20-29",C317&lt;40, "30-39",C317&lt;50, "40-49",C317&lt;60, "50-59",Table4[[#This Row],[Age]]&gt;=60, "60+"  )</f>
        <v>40-49</v>
      </c>
      <c r="E317" t="s">
        <v>8</v>
      </c>
      <c r="F317" t="b">
        <v>0</v>
      </c>
      <c r="G317" s="1">
        <v>30833</v>
      </c>
      <c r="H317">
        <v>26</v>
      </c>
      <c r="I317" s="5" t="str" cm="1">
        <f t="array" ref="I317">_xlfn.IFS(Table4[[#This Row],[Experience]]&lt;15, "7-15 YEARS",Table4[[#This Row],[Experience]]&lt;23, "15-23  YEARS",Table4[[#This Row],[Experience]]&lt;30, "23-30 YEARS",Table4[[#This Row],[Experience]]&gt;=30, "30+ YEARS")</f>
        <v>23-30 YEARS</v>
      </c>
      <c r="J317">
        <v>212050</v>
      </c>
      <c r="K317" s="5" t="str" cm="1">
        <f t="array" ref="K317">_xlfn.IFS(Table4[[#This Row],[Salary]]&lt;50000, "0-50K",Table4[[#This Row],[Salary]]&lt;100000, "50K-1L",Table4[[#This Row],[Salary]]&lt;150000, "1L-1.5L",Table4[[#This Row],[Salary]]&lt;200000, "1.5-2L",Table4[[#This Row],[Salary]]&gt;=200000, "2L+")</f>
        <v>2L+</v>
      </c>
    </row>
    <row r="318" spans="1:11" x14ac:dyDescent="0.3">
      <c r="A318">
        <v>316</v>
      </c>
      <c r="B318">
        <v>7404</v>
      </c>
      <c r="C318">
        <v>54</v>
      </c>
      <c r="D318" s="5" t="str" cm="1">
        <f t="array" ref="D318">_xlfn.IFS(C318&lt;30, "20-29",C318&lt;40, "30-39",C318&lt;50, "40-49",C318&lt;60, "50-59",Table4[[#This Row],[Age]]&gt;=60, "60+"  )</f>
        <v>50-59</v>
      </c>
      <c r="E318" t="s">
        <v>12</v>
      </c>
      <c r="F318" t="b">
        <v>1</v>
      </c>
      <c r="G318" s="1">
        <v>43397</v>
      </c>
      <c r="H318">
        <v>31</v>
      </c>
      <c r="I318" s="5" t="str" cm="1">
        <f t="array" ref="I318">_xlfn.IFS(Table4[[#This Row],[Experience]]&lt;15, "7-15 YEARS",Table4[[#This Row],[Experience]]&lt;23, "15-23  YEARS",Table4[[#This Row],[Experience]]&lt;30, "23-30 YEARS",Table4[[#This Row],[Experience]]&gt;=30, "30+ YEARS")</f>
        <v>30+ YEARS</v>
      </c>
      <c r="J318">
        <v>249856</v>
      </c>
      <c r="K318" s="5" t="str" cm="1">
        <f t="array" ref="K318">_xlfn.IFS(Table4[[#This Row],[Salary]]&lt;50000, "0-50K",Table4[[#This Row],[Salary]]&lt;100000, "50K-1L",Table4[[#This Row],[Salary]]&lt;150000, "1L-1.5L",Table4[[#This Row],[Salary]]&lt;200000, "1.5-2L",Table4[[#This Row],[Salary]]&gt;=200000, "2L+")</f>
        <v>2L+</v>
      </c>
    </row>
    <row r="319" spans="1:11" x14ac:dyDescent="0.3">
      <c r="A319">
        <v>317</v>
      </c>
      <c r="B319">
        <v>6438</v>
      </c>
      <c r="C319">
        <v>37</v>
      </c>
      <c r="D319" s="5" t="str" cm="1">
        <f t="array" ref="D319">_xlfn.IFS(C319&lt;30, "20-29",C319&lt;40, "30-39",C319&lt;50, "40-49",C319&lt;60, "50-59",Table4[[#This Row],[Age]]&gt;=60, "60+"  )</f>
        <v>30-39</v>
      </c>
      <c r="E319" t="s">
        <v>10</v>
      </c>
      <c r="F319" t="b">
        <v>1</v>
      </c>
      <c r="G319" s="1">
        <v>40253</v>
      </c>
      <c r="H319">
        <v>18</v>
      </c>
      <c r="I319" s="5" t="str" cm="1">
        <f t="array" ref="I319">_xlfn.IFS(Table4[[#This Row],[Experience]]&lt;15, "7-15 YEARS",Table4[[#This Row],[Experience]]&lt;23, "15-23  YEARS",Table4[[#This Row],[Experience]]&lt;30, "23-30 YEARS",Table4[[#This Row],[Experience]]&gt;=30, "30+ YEARS")</f>
        <v>15-23  YEARS</v>
      </c>
      <c r="J319">
        <v>149464</v>
      </c>
      <c r="K319" s="5" t="str" cm="1">
        <f t="array" ref="K319">_xlfn.IFS(Table4[[#This Row],[Salary]]&lt;50000, "0-50K",Table4[[#This Row],[Salary]]&lt;100000, "50K-1L",Table4[[#This Row],[Salary]]&lt;150000, "1L-1.5L",Table4[[#This Row],[Salary]]&lt;200000, "1.5-2L",Table4[[#This Row],[Salary]]&gt;=200000, "2L+")</f>
        <v>1L-1.5L</v>
      </c>
    </row>
    <row r="320" spans="1:11" x14ac:dyDescent="0.3">
      <c r="A320">
        <v>318</v>
      </c>
      <c r="B320">
        <v>4847</v>
      </c>
      <c r="C320">
        <v>37</v>
      </c>
      <c r="D320" s="5" t="str" cm="1">
        <f t="array" ref="D320">_xlfn.IFS(C320&lt;30, "20-29",C320&lt;40, "30-39",C320&lt;50, "40-49",C320&lt;60, "50-59",Table4[[#This Row],[Age]]&gt;=60, "60+"  )</f>
        <v>30-39</v>
      </c>
      <c r="E320" t="s">
        <v>9</v>
      </c>
      <c r="F320" t="b">
        <v>1</v>
      </c>
      <c r="G320" s="1">
        <v>27184</v>
      </c>
      <c r="H320">
        <v>16</v>
      </c>
      <c r="I320" s="5" t="str" cm="1">
        <f t="array" ref="I320">_xlfn.IFS(Table4[[#This Row],[Experience]]&lt;15, "7-15 YEARS",Table4[[#This Row],[Experience]]&lt;23, "15-23  YEARS",Table4[[#This Row],[Experience]]&lt;30, "23-30 YEARS",Table4[[#This Row],[Experience]]&gt;=30, "30+ YEARS")</f>
        <v>15-23  YEARS</v>
      </c>
      <c r="J320">
        <v>124970</v>
      </c>
      <c r="K320" s="5" t="str" cm="1">
        <f t="array" ref="K320">_xlfn.IFS(Table4[[#This Row],[Salary]]&lt;50000, "0-50K",Table4[[#This Row],[Salary]]&lt;100000, "50K-1L",Table4[[#This Row],[Salary]]&lt;150000, "1L-1.5L",Table4[[#This Row],[Salary]]&lt;200000, "1.5-2L",Table4[[#This Row],[Salary]]&gt;=200000, "2L+")</f>
        <v>1L-1.5L</v>
      </c>
    </row>
    <row r="321" spans="1:11" x14ac:dyDescent="0.3">
      <c r="A321">
        <v>319</v>
      </c>
      <c r="B321">
        <v>7292</v>
      </c>
      <c r="C321">
        <v>61</v>
      </c>
      <c r="D321" s="5" t="str" cm="1">
        <f t="array" ref="D321">_xlfn.IFS(C321&lt;30, "20-29",C321&lt;40, "30-39",C321&lt;50, "40-49",C321&lt;60, "50-59",Table4[[#This Row],[Age]]&gt;=60, "60+"  )</f>
        <v>60+</v>
      </c>
      <c r="E321" t="s">
        <v>11</v>
      </c>
      <c r="F321" t="b">
        <v>1</v>
      </c>
      <c r="G321" s="1">
        <v>39194</v>
      </c>
      <c r="H321">
        <v>32</v>
      </c>
      <c r="I321" s="5" t="str" cm="1">
        <f t="array" ref="I321">_xlfn.IFS(Table4[[#This Row],[Experience]]&lt;15, "7-15 YEARS",Table4[[#This Row],[Experience]]&lt;23, "15-23  YEARS",Table4[[#This Row],[Experience]]&lt;30, "23-30 YEARS",Table4[[#This Row],[Experience]]&gt;=30, "30+ YEARS")</f>
        <v>30+ YEARS</v>
      </c>
      <c r="J321">
        <v>256982</v>
      </c>
      <c r="K321" s="5" t="str" cm="1">
        <f t="array" ref="K321">_xlfn.IFS(Table4[[#This Row],[Salary]]&lt;50000, "0-50K",Table4[[#This Row],[Salary]]&lt;100000, "50K-1L",Table4[[#This Row],[Salary]]&lt;150000, "1L-1.5L",Table4[[#This Row],[Salary]]&lt;200000, "1.5-2L",Table4[[#This Row],[Salary]]&gt;=200000, "2L+")</f>
        <v>2L+</v>
      </c>
    </row>
    <row r="322" spans="1:11" x14ac:dyDescent="0.3">
      <c r="A322">
        <v>320</v>
      </c>
      <c r="B322">
        <v>6925</v>
      </c>
      <c r="C322">
        <v>61</v>
      </c>
      <c r="D322" s="5" t="str" cm="1">
        <f t="array" ref="D322">_xlfn.IFS(C322&lt;30, "20-29",C322&lt;40, "30-39",C322&lt;50, "40-49",C322&lt;60, "50-59",Table4[[#This Row],[Age]]&gt;=60, "60+"  )</f>
        <v>60+</v>
      </c>
      <c r="E322" t="s">
        <v>12</v>
      </c>
      <c r="F322" t="b">
        <v>0</v>
      </c>
      <c r="G322" s="1">
        <v>30611</v>
      </c>
      <c r="H322">
        <v>31</v>
      </c>
      <c r="I322" s="5" t="str" cm="1">
        <f t="array" ref="I322">_xlfn.IFS(Table4[[#This Row],[Experience]]&lt;15, "7-15 YEARS",Table4[[#This Row],[Experience]]&lt;23, "15-23  YEARS",Table4[[#This Row],[Experience]]&lt;30, "23-30 YEARS",Table4[[#This Row],[Experience]]&gt;=30, "30+ YEARS")</f>
        <v>30+ YEARS</v>
      </c>
      <c r="J322">
        <v>243928</v>
      </c>
      <c r="K322" s="5" t="str" cm="1">
        <f t="array" ref="K322">_xlfn.IFS(Table4[[#This Row],[Salary]]&lt;50000, "0-50K",Table4[[#This Row],[Salary]]&lt;100000, "50K-1L",Table4[[#This Row],[Salary]]&lt;150000, "1L-1.5L",Table4[[#This Row],[Salary]]&lt;200000, "1.5-2L",Table4[[#This Row],[Salary]]&gt;=200000, "2L+")</f>
        <v>2L+</v>
      </c>
    </row>
    <row r="323" spans="1:11" x14ac:dyDescent="0.3">
      <c r="A323">
        <v>321</v>
      </c>
      <c r="B323">
        <v>2232</v>
      </c>
      <c r="C323">
        <v>46</v>
      </c>
      <c r="D323" s="5" t="str" cm="1">
        <f t="array" ref="D323">_xlfn.IFS(C323&lt;30, "20-29",C323&lt;40, "30-39",C323&lt;50, "40-49",C323&lt;60, "50-59",Table4[[#This Row],[Age]]&gt;=60, "60+"  )</f>
        <v>40-49</v>
      </c>
      <c r="E323" t="s">
        <v>11</v>
      </c>
      <c r="F323" t="b">
        <v>1</v>
      </c>
      <c r="G323" s="1">
        <v>34450</v>
      </c>
      <c r="H323">
        <v>23</v>
      </c>
      <c r="I323" s="5" t="str" cm="1">
        <f t="array" ref="I323">_xlfn.IFS(Table4[[#This Row],[Experience]]&lt;15, "7-15 YEARS",Table4[[#This Row],[Experience]]&lt;23, "15-23  YEARS",Table4[[#This Row],[Experience]]&lt;30, "23-30 YEARS",Table4[[#This Row],[Experience]]&gt;=30, "30+ YEARS")</f>
        <v>23-30 YEARS</v>
      </c>
      <c r="J323">
        <v>189606</v>
      </c>
      <c r="K323" s="5" t="str" cm="1">
        <f t="array" ref="K323">_xlfn.IFS(Table4[[#This Row],[Salary]]&lt;50000, "0-50K",Table4[[#This Row],[Salary]]&lt;100000, "50K-1L",Table4[[#This Row],[Salary]]&lt;150000, "1L-1.5L",Table4[[#This Row],[Salary]]&lt;200000, "1.5-2L",Table4[[#This Row],[Salary]]&gt;=200000, "2L+")</f>
        <v>1.5-2L</v>
      </c>
    </row>
    <row r="324" spans="1:11" x14ac:dyDescent="0.3">
      <c r="A324">
        <v>322</v>
      </c>
      <c r="B324">
        <v>3471</v>
      </c>
      <c r="C324">
        <v>32</v>
      </c>
      <c r="D324" s="5" t="str" cm="1">
        <f t="array" ref="D324">_xlfn.IFS(C324&lt;30, "20-29",C324&lt;40, "30-39",C324&lt;50, "40-49",C324&lt;60, "50-59",Table4[[#This Row],[Age]]&gt;=60, "60+"  )</f>
        <v>30-39</v>
      </c>
      <c r="E324" t="s">
        <v>10</v>
      </c>
      <c r="F324" t="b">
        <v>0</v>
      </c>
      <c r="G324" s="1">
        <v>39743</v>
      </c>
      <c r="H324">
        <v>16</v>
      </c>
      <c r="I324" s="5" t="str" cm="1">
        <f t="array" ref="I324">_xlfn.IFS(Table4[[#This Row],[Experience]]&lt;15, "7-15 YEARS",Table4[[#This Row],[Experience]]&lt;23, "15-23  YEARS",Table4[[#This Row],[Experience]]&lt;30, "23-30 YEARS",Table4[[#This Row],[Experience]]&gt;=30, "30+ YEARS")</f>
        <v>15-23  YEARS</v>
      </c>
      <c r="J324">
        <v>124879</v>
      </c>
      <c r="K324" s="5" t="str" cm="1">
        <f t="array" ref="K324">_xlfn.IFS(Table4[[#This Row],[Salary]]&lt;50000, "0-50K",Table4[[#This Row],[Salary]]&lt;100000, "50K-1L",Table4[[#This Row],[Salary]]&lt;150000, "1L-1.5L",Table4[[#This Row],[Salary]]&lt;200000, "1.5-2L",Table4[[#This Row],[Salary]]&gt;=200000, "2L+")</f>
        <v>1L-1.5L</v>
      </c>
    </row>
    <row r="325" spans="1:11" x14ac:dyDescent="0.3">
      <c r="A325">
        <v>323</v>
      </c>
      <c r="B325">
        <v>3537</v>
      </c>
      <c r="C325">
        <v>34</v>
      </c>
      <c r="D325" s="5" t="str" cm="1">
        <f t="array" ref="D325">_xlfn.IFS(C325&lt;30, "20-29",C325&lt;40, "30-39",C325&lt;50, "40-49",C325&lt;60, "50-59",Table4[[#This Row],[Age]]&gt;=60, "60+"  )</f>
        <v>30-39</v>
      </c>
      <c r="E325" t="s">
        <v>8</v>
      </c>
      <c r="F325" t="b">
        <v>1</v>
      </c>
      <c r="G325" s="1">
        <v>43135</v>
      </c>
      <c r="H325">
        <v>15</v>
      </c>
      <c r="I325" s="5" t="str" cm="1">
        <f t="array" ref="I325">_xlfn.IFS(Table4[[#This Row],[Experience]]&lt;15, "7-15 YEARS",Table4[[#This Row],[Experience]]&lt;23, "15-23  YEARS",Table4[[#This Row],[Experience]]&lt;30, "23-30 YEARS",Table4[[#This Row],[Experience]]&gt;=30, "30+ YEARS")</f>
        <v>15-23  YEARS</v>
      </c>
      <c r="J325">
        <v>121239</v>
      </c>
      <c r="K325" s="5" t="str" cm="1">
        <f t="array" ref="K325">_xlfn.IFS(Table4[[#This Row],[Salary]]&lt;50000, "0-50K",Table4[[#This Row],[Salary]]&lt;100000, "50K-1L",Table4[[#This Row],[Salary]]&lt;150000, "1L-1.5L",Table4[[#This Row],[Salary]]&lt;200000, "1.5-2L",Table4[[#This Row],[Salary]]&gt;=200000, "2L+")</f>
        <v>1L-1.5L</v>
      </c>
    </row>
    <row r="326" spans="1:11" x14ac:dyDescent="0.3">
      <c r="A326">
        <v>324</v>
      </c>
      <c r="B326">
        <v>9164</v>
      </c>
      <c r="C326">
        <v>25</v>
      </c>
      <c r="D326" s="5" t="str" cm="1">
        <f t="array" ref="D326">_xlfn.IFS(C326&lt;30, "20-29",C326&lt;40, "30-39",C326&lt;50, "40-49",C326&lt;60, "50-59",Table4[[#This Row],[Age]]&gt;=60, "60+"  )</f>
        <v>20-29</v>
      </c>
      <c r="E326" t="s">
        <v>8</v>
      </c>
      <c r="F326" t="b">
        <v>0</v>
      </c>
      <c r="G326" s="1">
        <v>43672</v>
      </c>
      <c r="H326">
        <v>9</v>
      </c>
      <c r="I326" s="5" t="str" cm="1">
        <f t="array" ref="I326">_xlfn.IFS(Table4[[#This Row],[Experience]]&lt;15, "7-15 YEARS",Table4[[#This Row],[Experience]]&lt;23, "15-23  YEARS",Table4[[#This Row],[Experience]]&lt;30, "23-30 YEARS",Table4[[#This Row],[Experience]]&gt;=30, "30+ YEARS")</f>
        <v>7-15 YEARS</v>
      </c>
      <c r="J326">
        <v>75895</v>
      </c>
      <c r="K326" s="5" t="str" cm="1">
        <f t="array" ref="K326">_xlfn.IFS(Table4[[#This Row],[Salary]]&lt;50000, "0-50K",Table4[[#This Row],[Salary]]&lt;100000, "50K-1L",Table4[[#This Row],[Salary]]&lt;150000, "1L-1.5L",Table4[[#This Row],[Salary]]&lt;200000, "1.5-2L",Table4[[#This Row],[Salary]]&gt;=200000, "2L+")</f>
        <v>50K-1L</v>
      </c>
    </row>
    <row r="327" spans="1:11" x14ac:dyDescent="0.3">
      <c r="A327">
        <v>325</v>
      </c>
      <c r="B327">
        <v>6318</v>
      </c>
      <c r="C327">
        <v>42</v>
      </c>
      <c r="D327" s="5" t="str" cm="1">
        <f t="array" ref="D327">_xlfn.IFS(C327&lt;30, "20-29",C327&lt;40, "30-39",C327&lt;50, "40-49",C327&lt;60, "50-59",Table4[[#This Row],[Age]]&gt;=60, "60+"  )</f>
        <v>40-49</v>
      </c>
      <c r="E327" t="s">
        <v>10</v>
      </c>
      <c r="F327" t="b">
        <v>0</v>
      </c>
      <c r="G327" s="1">
        <v>29526</v>
      </c>
      <c r="H327">
        <v>22</v>
      </c>
      <c r="I327" s="5" t="str" cm="1">
        <f t="array" ref="I327">_xlfn.IFS(Table4[[#This Row],[Experience]]&lt;15, "7-15 YEARS",Table4[[#This Row],[Experience]]&lt;23, "15-23  YEARS",Table4[[#This Row],[Experience]]&lt;30, "23-30 YEARS",Table4[[#This Row],[Experience]]&gt;=30, "30+ YEARS")</f>
        <v>15-23  YEARS</v>
      </c>
      <c r="J327">
        <v>176472</v>
      </c>
      <c r="K327" s="5" t="str" cm="1">
        <f t="array" ref="K327">_xlfn.IFS(Table4[[#This Row],[Salary]]&lt;50000, "0-50K",Table4[[#This Row],[Salary]]&lt;100000, "50K-1L",Table4[[#This Row],[Salary]]&lt;150000, "1L-1.5L",Table4[[#This Row],[Salary]]&lt;200000, "1.5-2L",Table4[[#This Row],[Salary]]&gt;=200000, "2L+")</f>
        <v>1.5-2L</v>
      </c>
    </row>
    <row r="328" spans="1:11" x14ac:dyDescent="0.3">
      <c r="A328">
        <v>326</v>
      </c>
      <c r="B328">
        <v>9734</v>
      </c>
      <c r="C328">
        <v>52</v>
      </c>
      <c r="D328" s="5" t="str" cm="1">
        <f t="array" ref="D328">_xlfn.IFS(C328&lt;30, "20-29",C328&lt;40, "30-39",C328&lt;50, "40-49",C328&lt;60, "50-59",Table4[[#This Row],[Age]]&gt;=60, "60+"  )</f>
        <v>50-59</v>
      </c>
      <c r="E328" t="s">
        <v>10</v>
      </c>
      <c r="F328" t="b">
        <v>1</v>
      </c>
      <c r="G328" s="1">
        <v>40774</v>
      </c>
      <c r="H328">
        <v>27</v>
      </c>
      <c r="I328" s="5" t="str" cm="1">
        <f t="array" ref="I328">_xlfn.IFS(Table4[[#This Row],[Experience]]&lt;15, "7-15 YEARS",Table4[[#This Row],[Experience]]&lt;23, "15-23  YEARS",Table4[[#This Row],[Experience]]&lt;30, "23-30 YEARS",Table4[[#This Row],[Experience]]&gt;=30, "30+ YEARS")</f>
        <v>23-30 YEARS</v>
      </c>
      <c r="J328">
        <v>212809</v>
      </c>
      <c r="K328" s="5" t="str" cm="1">
        <f t="array" ref="K328">_xlfn.IFS(Table4[[#This Row],[Salary]]&lt;50000, "0-50K",Table4[[#This Row],[Salary]]&lt;100000, "50K-1L",Table4[[#This Row],[Salary]]&lt;150000, "1L-1.5L",Table4[[#This Row],[Salary]]&lt;200000, "1.5-2L",Table4[[#This Row],[Salary]]&gt;=200000, "2L+")</f>
        <v>2L+</v>
      </c>
    </row>
    <row r="329" spans="1:11" x14ac:dyDescent="0.3">
      <c r="A329">
        <v>327</v>
      </c>
      <c r="B329">
        <v>6820</v>
      </c>
      <c r="C329">
        <v>42</v>
      </c>
      <c r="D329" s="5" t="str" cm="1">
        <f t="array" ref="D329">_xlfn.IFS(C329&lt;30, "20-29",C329&lt;40, "30-39",C329&lt;50, "40-49",C329&lt;60, "50-59",Table4[[#This Row],[Age]]&gt;=60, "60+"  )</f>
        <v>40-49</v>
      </c>
      <c r="E329" t="s">
        <v>9</v>
      </c>
      <c r="F329" t="b">
        <v>0</v>
      </c>
      <c r="G329" s="1">
        <v>29839</v>
      </c>
      <c r="H329">
        <v>20</v>
      </c>
      <c r="I329" s="5" t="str" cm="1">
        <f t="array" ref="I329">_xlfn.IFS(Table4[[#This Row],[Experience]]&lt;15, "7-15 YEARS",Table4[[#This Row],[Experience]]&lt;23, "15-23  YEARS",Table4[[#This Row],[Experience]]&lt;30, "23-30 YEARS",Table4[[#This Row],[Experience]]&gt;=30, "30+ YEARS")</f>
        <v>15-23  YEARS</v>
      </c>
      <c r="J329">
        <v>163828</v>
      </c>
      <c r="K329" s="5" t="str" cm="1">
        <f t="array" ref="K329">_xlfn.IFS(Table4[[#This Row],[Salary]]&lt;50000, "0-50K",Table4[[#This Row],[Salary]]&lt;100000, "50K-1L",Table4[[#This Row],[Salary]]&lt;150000, "1L-1.5L",Table4[[#This Row],[Salary]]&lt;200000, "1.5-2L",Table4[[#This Row],[Salary]]&gt;=200000, "2L+")</f>
        <v>1.5-2L</v>
      </c>
    </row>
    <row r="330" spans="1:11" x14ac:dyDescent="0.3">
      <c r="A330">
        <v>328</v>
      </c>
      <c r="B330">
        <v>5827</v>
      </c>
      <c r="C330">
        <v>27</v>
      </c>
      <c r="D330" s="5" t="str" cm="1">
        <f t="array" ref="D330">_xlfn.IFS(C330&lt;30, "20-29",C330&lt;40, "30-39",C330&lt;50, "40-49",C330&lt;60, "50-59",Table4[[#This Row],[Age]]&gt;=60, "60+"  )</f>
        <v>20-29</v>
      </c>
      <c r="E330" t="s">
        <v>11</v>
      </c>
      <c r="F330" t="b">
        <v>0</v>
      </c>
      <c r="G330" s="1">
        <v>33797</v>
      </c>
      <c r="H330">
        <v>13</v>
      </c>
      <c r="I330" s="5" t="str" cm="1">
        <f t="array" ref="I330">_xlfn.IFS(Table4[[#This Row],[Experience]]&lt;15, "7-15 YEARS",Table4[[#This Row],[Experience]]&lt;23, "15-23  YEARS",Table4[[#This Row],[Experience]]&lt;30, "23-30 YEARS",Table4[[#This Row],[Experience]]&gt;=30, "30+ YEARS")</f>
        <v>7-15 YEARS</v>
      </c>
      <c r="J330">
        <v>108619</v>
      </c>
      <c r="K330" s="5" t="str" cm="1">
        <f t="array" ref="K330">_xlfn.IFS(Table4[[#This Row],[Salary]]&lt;50000, "0-50K",Table4[[#This Row],[Salary]]&lt;100000, "50K-1L",Table4[[#This Row],[Salary]]&lt;150000, "1L-1.5L",Table4[[#This Row],[Salary]]&lt;200000, "1.5-2L",Table4[[#This Row],[Salary]]&gt;=200000, "2L+")</f>
        <v>1L-1.5L</v>
      </c>
    </row>
    <row r="331" spans="1:11" x14ac:dyDescent="0.3">
      <c r="A331">
        <v>329</v>
      </c>
      <c r="B331">
        <v>5708</v>
      </c>
      <c r="C331">
        <v>37</v>
      </c>
      <c r="D331" s="5" t="str" cm="1">
        <f t="array" ref="D331">_xlfn.IFS(C331&lt;30, "20-29",C331&lt;40, "30-39",C331&lt;50, "40-49",C331&lt;60, "50-59",Table4[[#This Row],[Age]]&gt;=60, "60+"  )</f>
        <v>30-39</v>
      </c>
      <c r="E331" t="s">
        <v>11</v>
      </c>
      <c r="F331" t="b">
        <v>1</v>
      </c>
      <c r="G331" s="1">
        <v>32970</v>
      </c>
      <c r="H331">
        <v>19</v>
      </c>
      <c r="I331" s="5" t="str" cm="1">
        <f t="array" ref="I331">_xlfn.IFS(Table4[[#This Row],[Experience]]&lt;15, "7-15 YEARS",Table4[[#This Row],[Experience]]&lt;23, "15-23  YEARS",Table4[[#This Row],[Experience]]&lt;30, "23-30 YEARS",Table4[[#This Row],[Experience]]&gt;=30, "30+ YEARS")</f>
        <v>15-23  YEARS</v>
      </c>
      <c r="J331">
        <v>152992</v>
      </c>
      <c r="K331" s="5" t="str" cm="1">
        <f t="array" ref="K331">_xlfn.IFS(Table4[[#This Row],[Salary]]&lt;50000, "0-50K",Table4[[#This Row],[Salary]]&lt;100000, "50K-1L",Table4[[#This Row],[Salary]]&lt;150000, "1L-1.5L",Table4[[#This Row],[Salary]]&lt;200000, "1.5-2L",Table4[[#This Row],[Salary]]&gt;=200000, "2L+")</f>
        <v>1.5-2L</v>
      </c>
    </row>
    <row r="332" spans="1:11" x14ac:dyDescent="0.3">
      <c r="A332">
        <v>330</v>
      </c>
      <c r="B332">
        <v>9126</v>
      </c>
      <c r="C332">
        <v>43</v>
      </c>
      <c r="D332" s="5" t="str" cm="1">
        <f t="array" ref="D332">_xlfn.IFS(C332&lt;30, "20-29",C332&lt;40, "30-39",C332&lt;50, "40-49",C332&lt;60, "50-59",Table4[[#This Row],[Age]]&gt;=60, "60+"  )</f>
        <v>40-49</v>
      </c>
      <c r="E332" t="s">
        <v>10</v>
      </c>
      <c r="F332" t="b">
        <v>0</v>
      </c>
      <c r="G332" s="1">
        <v>37491</v>
      </c>
      <c r="H332">
        <v>20</v>
      </c>
      <c r="I332" s="5" t="str" cm="1">
        <f t="array" ref="I332">_xlfn.IFS(Table4[[#This Row],[Experience]]&lt;15, "7-15 YEARS",Table4[[#This Row],[Experience]]&lt;23, "15-23  YEARS",Table4[[#This Row],[Experience]]&lt;30, "23-30 YEARS",Table4[[#This Row],[Experience]]&gt;=30, "30+ YEARS")</f>
        <v>15-23  YEARS</v>
      </c>
      <c r="J332">
        <v>154462</v>
      </c>
      <c r="K332" s="5" t="str" cm="1">
        <f t="array" ref="K332">_xlfn.IFS(Table4[[#This Row],[Salary]]&lt;50000, "0-50K",Table4[[#This Row],[Salary]]&lt;100000, "50K-1L",Table4[[#This Row],[Salary]]&lt;150000, "1L-1.5L",Table4[[#This Row],[Salary]]&lt;200000, "1.5-2L",Table4[[#This Row],[Salary]]&gt;=200000, "2L+")</f>
        <v>1.5-2L</v>
      </c>
    </row>
    <row r="333" spans="1:11" x14ac:dyDescent="0.3">
      <c r="A333">
        <v>331</v>
      </c>
      <c r="B333">
        <v>1862</v>
      </c>
      <c r="C333">
        <v>39</v>
      </c>
      <c r="D333" s="5" t="str" cm="1">
        <f t="array" ref="D333">_xlfn.IFS(C333&lt;30, "20-29",C333&lt;40, "30-39",C333&lt;50, "40-49",C333&lt;60, "50-59",Table4[[#This Row],[Age]]&gt;=60, "60+"  )</f>
        <v>30-39</v>
      </c>
      <c r="E333" t="s">
        <v>9</v>
      </c>
      <c r="F333" t="b">
        <v>1</v>
      </c>
      <c r="G333" s="1">
        <v>42730</v>
      </c>
      <c r="H333">
        <v>18</v>
      </c>
      <c r="I333" s="5" t="str" cm="1">
        <f t="array" ref="I333">_xlfn.IFS(Table4[[#This Row],[Experience]]&lt;15, "7-15 YEARS",Table4[[#This Row],[Experience]]&lt;23, "15-23  YEARS",Table4[[#This Row],[Experience]]&lt;30, "23-30 YEARS",Table4[[#This Row],[Experience]]&gt;=30, "30+ YEARS")</f>
        <v>15-23  YEARS</v>
      </c>
      <c r="J333">
        <v>143605</v>
      </c>
      <c r="K333" s="5" t="str" cm="1">
        <f t="array" ref="K333">_xlfn.IFS(Table4[[#This Row],[Salary]]&lt;50000, "0-50K",Table4[[#This Row],[Salary]]&lt;100000, "50K-1L",Table4[[#This Row],[Salary]]&lt;150000, "1L-1.5L",Table4[[#This Row],[Salary]]&lt;200000, "1.5-2L",Table4[[#This Row],[Salary]]&gt;=200000, "2L+")</f>
        <v>1L-1.5L</v>
      </c>
    </row>
    <row r="334" spans="1:11" x14ac:dyDescent="0.3">
      <c r="A334">
        <v>332</v>
      </c>
      <c r="B334">
        <v>3905</v>
      </c>
      <c r="C334">
        <v>39</v>
      </c>
      <c r="D334" s="5" t="str" cm="1">
        <f t="array" ref="D334">_xlfn.IFS(C334&lt;30, "20-29",C334&lt;40, "30-39",C334&lt;50, "40-49",C334&lt;60, "50-59",Table4[[#This Row],[Age]]&gt;=60, "60+"  )</f>
        <v>30-39</v>
      </c>
      <c r="E334" t="s">
        <v>8</v>
      </c>
      <c r="F334" t="b">
        <v>0</v>
      </c>
      <c r="G334" s="1">
        <v>35580</v>
      </c>
      <c r="H334">
        <v>15</v>
      </c>
      <c r="I334" s="5" t="str" cm="1">
        <f t="array" ref="I334">_xlfn.IFS(Table4[[#This Row],[Experience]]&lt;15, "7-15 YEARS",Table4[[#This Row],[Experience]]&lt;23, "15-23  YEARS",Table4[[#This Row],[Experience]]&lt;30, "23-30 YEARS",Table4[[#This Row],[Experience]]&gt;=30, "30+ YEARS")</f>
        <v>15-23  YEARS</v>
      </c>
      <c r="J334">
        <v>117870</v>
      </c>
      <c r="K334" s="5" t="str" cm="1">
        <f t="array" ref="K334">_xlfn.IFS(Table4[[#This Row],[Salary]]&lt;50000, "0-50K",Table4[[#This Row],[Salary]]&lt;100000, "50K-1L",Table4[[#This Row],[Salary]]&lt;150000, "1L-1.5L",Table4[[#This Row],[Salary]]&lt;200000, "1.5-2L",Table4[[#This Row],[Salary]]&gt;=200000, "2L+")</f>
        <v>1L-1.5L</v>
      </c>
    </row>
    <row r="335" spans="1:11" x14ac:dyDescent="0.3">
      <c r="A335">
        <v>333</v>
      </c>
      <c r="B335">
        <v>5504</v>
      </c>
      <c r="C335">
        <v>54</v>
      </c>
      <c r="D335" s="5" t="str" cm="1">
        <f t="array" ref="D335">_xlfn.IFS(C335&lt;30, "20-29",C335&lt;40, "30-39",C335&lt;50, "40-49",C335&lt;60, "50-59",Table4[[#This Row],[Age]]&gt;=60, "60+"  )</f>
        <v>50-59</v>
      </c>
      <c r="E335" t="s">
        <v>8</v>
      </c>
      <c r="F335" t="b">
        <v>1</v>
      </c>
      <c r="G335" s="1">
        <v>39631</v>
      </c>
      <c r="H335">
        <v>28</v>
      </c>
      <c r="I335" s="5" t="str" cm="1">
        <f t="array" ref="I335">_xlfn.IFS(Table4[[#This Row],[Experience]]&lt;15, "7-15 YEARS",Table4[[#This Row],[Experience]]&lt;23, "15-23  YEARS",Table4[[#This Row],[Experience]]&lt;30, "23-30 YEARS",Table4[[#This Row],[Experience]]&gt;=30, "30+ YEARS")</f>
        <v>23-30 YEARS</v>
      </c>
      <c r="J335">
        <v>223902</v>
      </c>
      <c r="K335" s="5" t="str" cm="1">
        <f t="array" ref="K335">_xlfn.IFS(Table4[[#This Row],[Salary]]&lt;50000, "0-50K",Table4[[#This Row],[Salary]]&lt;100000, "50K-1L",Table4[[#This Row],[Salary]]&lt;150000, "1L-1.5L",Table4[[#This Row],[Salary]]&lt;200000, "1.5-2L",Table4[[#This Row],[Salary]]&gt;=200000, "2L+")</f>
        <v>2L+</v>
      </c>
    </row>
    <row r="336" spans="1:11" x14ac:dyDescent="0.3">
      <c r="A336">
        <v>334</v>
      </c>
      <c r="B336">
        <v>1819</v>
      </c>
      <c r="C336">
        <v>31</v>
      </c>
      <c r="D336" s="5" t="str" cm="1">
        <f t="array" ref="D336">_xlfn.IFS(C336&lt;30, "20-29",C336&lt;40, "30-39",C336&lt;50, "40-49",C336&lt;60, "50-59",Table4[[#This Row],[Age]]&gt;=60, "60+"  )</f>
        <v>30-39</v>
      </c>
      <c r="E336" t="s">
        <v>11</v>
      </c>
      <c r="F336" t="b">
        <v>1</v>
      </c>
      <c r="G336" s="1">
        <v>39961</v>
      </c>
      <c r="H336">
        <v>14</v>
      </c>
      <c r="I336" s="5" t="str" cm="1">
        <f t="array" ref="I336">_xlfn.IFS(Table4[[#This Row],[Experience]]&lt;15, "7-15 YEARS",Table4[[#This Row],[Experience]]&lt;23, "15-23  YEARS",Table4[[#This Row],[Experience]]&lt;30, "23-30 YEARS",Table4[[#This Row],[Experience]]&gt;=30, "30+ YEARS")</f>
        <v>7-15 YEARS</v>
      </c>
      <c r="J336">
        <v>115875</v>
      </c>
      <c r="K336" s="5" t="str" cm="1">
        <f t="array" ref="K336">_xlfn.IFS(Table4[[#This Row],[Salary]]&lt;50000, "0-50K",Table4[[#This Row],[Salary]]&lt;100000, "50K-1L",Table4[[#This Row],[Salary]]&lt;150000, "1L-1.5L",Table4[[#This Row],[Salary]]&lt;200000, "1.5-2L",Table4[[#This Row],[Salary]]&gt;=200000, "2L+")</f>
        <v>1L-1.5L</v>
      </c>
    </row>
    <row r="337" spans="1:11" x14ac:dyDescent="0.3">
      <c r="A337">
        <v>335</v>
      </c>
      <c r="B337">
        <v>2901</v>
      </c>
      <c r="C337">
        <v>46</v>
      </c>
      <c r="D337" s="5" t="str" cm="1">
        <f t="array" ref="D337">_xlfn.IFS(C337&lt;30, "20-29",C337&lt;40, "30-39",C337&lt;50, "40-49",C337&lt;60, "50-59",Table4[[#This Row],[Age]]&gt;=60, "60+"  )</f>
        <v>40-49</v>
      </c>
      <c r="E337" t="s">
        <v>10</v>
      </c>
      <c r="F337" t="b">
        <v>0</v>
      </c>
      <c r="G337" s="1">
        <v>38082</v>
      </c>
      <c r="H337">
        <v>24</v>
      </c>
      <c r="I337" s="5" t="str" cm="1">
        <f t="array" ref="I337">_xlfn.IFS(Table4[[#This Row],[Experience]]&lt;15, "7-15 YEARS",Table4[[#This Row],[Experience]]&lt;23, "15-23  YEARS",Table4[[#This Row],[Experience]]&lt;30, "23-30 YEARS",Table4[[#This Row],[Experience]]&gt;=30, "30+ YEARS")</f>
        <v>23-30 YEARS</v>
      </c>
      <c r="J337">
        <v>187168</v>
      </c>
      <c r="K337" s="5" t="str" cm="1">
        <f t="array" ref="K337">_xlfn.IFS(Table4[[#This Row],[Salary]]&lt;50000, "0-50K",Table4[[#This Row],[Salary]]&lt;100000, "50K-1L",Table4[[#This Row],[Salary]]&lt;150000, "1L-1.5L",Table4[[#This Row],[Salary]]&lt;200000, "1.5-2L",Table4[[#This Row],[Salary]]&gt;=200000, "2L+")</f>
        <v>1.5-2L</v>
      </c>
    </row>
    <row r="338" spans="1:11" x14ac:dyDescent="0.3">
      <c r="A338">
        <v>336</v>
      </c>
      <c r="B338">
        <v>8229</v>
      </c>
      <c r="C338">
        <v>64</v>
      </c>
      <c r="D338" s="5" t="str" cm="1">
        <f t="array" ref="D338">_xlfn.IFS(C338&lt;30, "20-29",C338&lt;40, "30-39",C338&lt;50, "40-49",C338&lt;60, "50-59",Table4[[#This Row],[Age]]&gt;=60, "60+"  )</f>
        <v>60+</v>
      </c>
      <c r="E338" t="s">
        <v>10</v>
      </c>
      <c r="F338" t="b">
        <v>1</v>
      </c>
      <c r="G338" s="1">
        <v>35757</v>
      </c>
      <c r="H338">
        <v>33</v>
      </c>
      <c r="I338" s="5" t="str" cm="1">
        <f t="array" ref="I338">_xlfn.IFS(Table4[[#This Row],[Experience]]&lt;15, "7-15 YEARS",Table4[[#This Row],[Experience]]&lt;23, "15-23  YEARS",Table4[[#This Row],[Experience]]&lt;30, "23-30 YEARS",Table4[[#This Row],[Experience]]&gt;=30, "30+ YEARS")</f>
        <v>30+ YEARS</v>
      </c>
      <c r="J338">
        <v>265624</v>
      </c>
      <c r="K338" s="5" t="str" cm="1">
        <f t="array" ref="K338">_xlfn.IFS(Table4[[#This Row],[Salary]]&lt;50000, "0-50K",Table4[[#This Row],[Salary]]&lt;100000, "50K-1L",Table4[[#This Row],[Salary]]&lt;150000, "1L-1.5L",Table4[[#This Row],[Salary]]&lt;200000, "1.5-2L",Table4[[#This Row],[Salary]]&gt;=200000, "2L+")</f>
        <v>2L+</v>
      </c>
    </row>
    <row r="339" spans="1:11" x14ac:dyDescent="0.3">
      <c r="A339">
        <v>337</v>
      </c>
      <c r="B339">
        <v>9442</v>
      </c>
      <c r="C339">
        <v>62</v>
      </c>
      <c r="D339" s="5" t="str" cm="1">
        <f t="array" ref="D339">_xlfn.IFS(C339&lt;30, "20-29",C339&lt;40, "30-39",C339&lt;50, "40-49",C339&lt;60, "50-59",Table4[[#This Row],[Age]]&gt;=60, "60+"  )</f>
        <v>60+</v>
      </c>
      <c r="E339" t="s">
        <v>10</v>
      </c>
      <c r="F339" t="b">
        <v>0</v>
      </c>
      <c r="G339" s="1">
        <v>36899</v>
      </c>
      <c r="H339">
        <v>32</v>
      </c>
      <c r="I339" s="5" t="str" cm="1">
        <f t="array" ref="I339">_xlfn.IFS(Table4[[#This Row],[Experience]]&lt;15, "7-15 YEARS",Table4[[#This Row],[Experience]]&lt;23, "15-23  YEARS",Table4[[#This Row],[Experience]]&lt;30, "23-30 YEARS",Table4[[#This Row],[Experience]]&gt;=30, "30+ YEARS")</f>
        <v>30+ YEARS</v>
      </c>
      <c r="J339">
        <v>259400</v>
      </c>
      <c r="K339" s="5" t="str" cm="1">
        <f t="array" ref="K339">_xlfn.IFS(Table4[[#This Row],[Salary]]&lt;50000, "0-50K",Table4[[#This Row],[Salary]]&lt;100000, "50K-1L",Table4[[#This Row],[Salary]]&lt;150000, "1L-1.5L",Table4[[#This Row],[Salary]]&lt;200000, "1.5-2L",Table4[[#This Row],[Salary]]&gt;=200000, "2L+")</f>
        <v>2L+</v>
      </c>
    </row>
    <row r="340" spans="1:11" x14ac:dyDescent="0.3">
      <c r="A340">
        <v>338</v>
      </c>
      <c r="B340">
        <v>4796</v>
      </c>
      <c r="C340">
        <v>28</v>
      </c>
      <c r="D340" s="5" t="str" cm="1">
        <f t="array" ref="D340">_xlfn.IFS(C340&lt;30, "20-29",C340&lt;40, "30-39",C340&lt;50, "40-49",C340&lt;60, "50-59",Table4[[#This Row],[Age]]&gt;=60, "60+"  )</f>
        <v>20-29</v>
      </c>
      <c r="E340" t="s">
        <v>8</v>
      </c>
      <c r="F340" t="b">
        <v>1</v>
      </c>
      <c r="G340" s="1">
        <v>31129</v>
      </c>
      <c r="H340">
        <v>15</v>
      </c>
      <c r="I340" s="5" t="str" cm="1">
        <f t="array" ref="I340">_xlfn.IFS(Table4[[#This Row],[Experience]]&lt;15, "7-15 YEARS",Table4[[#This Row],[Experience]]&lt;23, "15-23  YEARS",Table4[[#This Row],[Experience]]&lt;30, "23-30 YEARS",Table4[[#This Row],[Experience]]&gt;=30, "30+ YEARS")</f>
        <v>15-23  YEARS</v>
      </c>
      <c r="J340">
        <v>113486</v>
      </c>
      <c r="K340" s="5" t="str" cm="1">
        <f t="array" ref="K340">_xlfn.IFS(Table4[[#This Row],[Salary]]&lt;50000, "0-50K",Table4[[#This Row],[Salary]]&lt;100000, "50K-1L",Table4[[#This Row],[Salary]]&lt;150000, "1L-1.5L",Table4[[#This Row],[Salary]]&lt;200000, "1.5-2L",Table4[[#This Row],[Salary]]&gt;=200000, "2L+")</f>
        <v>1L-1.5L</v>
      </c>
    </row>
    <row r="341" spans="1:11" x14ac:dyDescent="0.3">
      <c r="A341">
        <v>339</v>
      </c>
      <c r="B341">
        <v>1890</v>
      </c>
      <c r="C341">
        <v>26</v>
      </c>
      <c r="D341" s="5" t="str" cm="1">
        <f t="array" ref="D341">_xlfn.IFS(C341&lt;30, "20-29",C341&lt;40, "30-39",C341&lt;50, "40-49",C341&lt;60, "50-59",Table4[[#This Row],[Age]]&gt;=60, "60+"  )</f>
        <v>20-29</v>
      </c>
      <c r="E341" t="s">
        <v>10</v>
      </c>
      <c r="F341" t="b">
        <v>1</v>
      </c>
      <c r="G341" s="1">
        <v>32540</v>
      </c>
      <c r="H341">
        <v>13</v>
      </c>
      <c r="I341" s="5" t="str" cm="1">
        <f t="array" ref="I341">_xlfn.IFS(Table4[[#This Row],[Experience]]&lt;15, "7-15 YEARS",Table4[[#This Row],[Experience]]&lt;23, "15-23  YEARS",Table4[[#This Row],[Experience]]&lt;30, "23-30 YEARS",Table4[[#This Row],[Experience]]&gt;=30, "30+ YEARS")</f>
        <v>7-15 YEARS</v>
      </c>
      <c r="J341">
        <v>102162</v>
      </c>
      <c r="K341" s="5" t="str" cm="1">
        <f t="array" ref="K341">_xlfn.IFS(Table4[[#This Row],[Salary]]&lt;50000, "0-50K",Table4[[#This Row],[Salary]]&lt;100000, "50K-1L",Table4[[#This Row],[Salary]]&lt;150000, "1L-1.5L",Table4[[#This Row],[Salary]]&lt;200000, "1.5-2L",Table4[[#This Row],[Salary]]&gt;=200000, "2L+")</f>
        <v>1L-1.5L</v>
      </c>
    </row>
    <row r="342" spans="1:11" x14ac:dyDescent="0.3">
      <c r="A342">
        <v>340</v>
      </c>
      <c r="B342">
        <v>2321</v>
      </c>
      <c r="C342">
        <v>52</v>
      </c>
      <c r="D342" s="5" t="str" cm="1">
        <f t="array" ref="D342">_xlfn.IFS(C342&lt;30, "20-29",C342&lt;40, "30-39",C342&lt;50, "40-49",C342&lt;60, "50-59",Table4[[#This Row],[Age]]&gt;=60, "60+"  )</f>
        <v>50-59</v>
      </c>
      <c r="E342" t="s">
        <v>11</v>
      </c>
      <c r="F342" t="b">
        <v>1</v>
      </c>
      <c r="G342" s="1">
        <v>36723</v>
      </c>
      <c r="H342">
        <v>25</v>
      </c>
      <c r="I342" s="5" t="str" cm="1">
        <f t="array" ref="I342">_xlfn.IFS(Table4[[#This Row],[Experience]]&lt;15, "7-15 YEARS",Table4[[#This Row],[Experience]]&lt;23, "15-23  YEARS",Table4[[#This Row],[Experience]]&lt;30, "23-30 YEARS",Table4[[#This Row],[Experience]]&gt;=30, "30+ YEARS")</f>
        <v>23-30 YEARS</v>
      </c>
      <c r="J342">
        <v>200331</v>
      </c>
      <c r="K342" s="5" t="str" cm="1">
        <f t="array" ref="K342">_xlfn.IFS(Table4[[#This Row],[Salary]]&lt;50000, "0-50K",Table4[[#This Row],[Salary]]&lt;100000, "50K-1L",Table4[[#This Row],[Salary]]&lt;150000, "1L-1.5L",Table4[[#This Row],[Salary]]&lt;200000, "1.5-2L",Table4[[#This Row],[Salary]]&gt;=200000, "2L+")</f>
        <v>2L+</v>
      </c>
    </row>
    <row r="343" spans="1:11" x14ac:dyDescent="0.3">
      <c r="A343">
        <v>341</v>
      </c>
      <c r="B343">
        <v>6947</v>
      </c>
      <c r="C343">
        <v>35</v>
      </c>
      <c r="D343" s="5" t="str" cm="1">
        <f t="array" ref="D343">_xlfn.IFS(C343&lt;30, "20-29",C343&lt;40, "30-39",C343&lt;50, "40-49",C343&lt;60, "50-59",Table4[[#This Row],[Age]]&gt;=60, "60+"  )</f>
        <v>30-39</v>
      </c>
      <c r="E343" t="s">
        <v>8</v>
      </c>
      <c r="F343" t="b">
        <v>1</v>
      </c>
      <c r="G343" s="1">
        <v>33191</v>
      </c>
      <c r="H343">
        <v>18</v>
      </c>
      <c r="I343" s="5" t="str" cm="1">
        <f t="array" ref="I343">_xlfn.IFS(Table4[[#This Row],[Experience]]&lt;15, "7-15 YEARS",Table4[[#This Row],[Experience]]&lt;23, "15-23  YEARS",Table4[[#This Row],[Experience]]&lt;30, "23-30 YEARS",Table4[[#This Row],[Experience]]&gt;=30, "30+ YEARS")</f>
        <v>15-23  YEARS</v>
      </c>
      <c r="J343">
        <v>143134</v>
      </c>
      <c r="K343" s="5" t="str" cm="1">
        <f t="array" ref="K343">_xlfn.IFS(Table4[[#This Row],[Salary]]&lt;50000, "0-50K",Table4[[#This Row],[Salary]]&lt;100000, "50K-1L",Table4[[#This Row],[Salary]]&lt;150000, "1L-1.5L",Table4[[#This Row],[Salary]]&lt;200000, "1.5-2L",Table4[[#This Row],[Salary]]&gt;=200000, "2L+")</f>
        <v>1L-1.5L</v>
      </c>
    </row>
    <row r="344" spans="1:11" x14ac:dyDescent="0.3">
      <c r="A344">
        <v>342</v>
      </c>
      <c r="B344">
        <v>2401</v>
      </c>
      <c r="C344">
        <v>41</v>
      </c>
      <c r="D344" s="5" t="str" cm="1">
        <f t="array" ref="D344">_xlfn.IFS(C344&lt;30, "20-29",C344&lt;40, "30-39",C344&lt;50, "40-49",C344&lt;60, "50-59",Table4[[#This Row],[Age]]&gt;=60, "60+"  )</f>
        <v>40-49</v>
      </c>
      <c r="E344" t="s">
        <v>9</v>
      </c>
      <c r="F344" t="b">
        <v>1</v>
      </c>
      <c r="G344" s="1">
        <v>25830</v>
      </c>
      <c r="H344">
        <v>20</v>
      </c>
      <c r="I344" s="5" t="str" cm="1">
        <f t="array" ref="I344">_xlfn.IFS(Table4[[#This Row],[Experience]]&lt;15, "7-15 YEARS",Table4[[#This Row],[Experience]]&lt;23, "15-23  YEARS",Table4[[#This Row],[Experience]]&lt;30, "23-30 YEARS",Table4[[#This Row],[Experience]]&gt;=30, "30+ YEARS")</f>
        <v>15-23  YEARS</v>
      </c>
      <c r="J344">
        <v>152367</v>
      </c>
      <c r="K344" s="5" t="str" cm="1">
        <f t="array" ref="K344">_xlfn.IFS(Table4[[#This Row],[Salary]]&lt;50000, "0-50K",Table4[[#This Row],[Salary]]&lt;100000, "50K-1L",Table4[[#This Row],[Salary]]&lt;150000, "1L-1.5L",Table4[[#This Row],[Salary]]&lt;200000, "1.5-2L",Table4[[#This Row],[Salary]]&gt;=200000, "2L+")</f>
        <v>1.5-2L</v>
      </c>
    </row>
    <row r="345" spans="1:11" x14ac:dyDescent="0.3">
      <c r="A345">
        <v>343</v>
      </c>
      <c r="B345">
        <v>3015</v>
      </c>
      <c r="C345">
        <v>62</v>
      </c>
      <c r="D345" s="5" t="str" cm="1">
        <f t="array" ref="D345">_xlfn.IFS(C345&lt;30, "20-29",C345&lt;40, "30-39",C345&lt;50, "40-49",C345&lt;60, "50-59",Table4[[#This Row],[Age]]&gt;=60, "60+"  )</f>
        <v>60+</v>
      </c>
      <c r="E345" t="s">
        <v>12</v>
      </c>
      <c r="F345" t="b">
        <v>0</v>
      </c>
      <c r="G345" s="1">
        <v>43021</v>
      </c>
      <c r="H345">
        <v>31</v>
      </c>
      <c r="I345" s="5" t="str" cm="1">
        <f t="array" ref="I345">_xlfn.IFS(Table4[[#This Row],[Experience]]&lt;15, "7-15 YEARS",Table4[[#This Row],[Experience]]&lt;23, "15-23  YEARS",Table4[[#This Row],[Experience]]&lt;30, "23-30 YEARS",Table4[[#This Row],[Experience]]&gt;=30, "30+ YEARS")</f>
        <v>30+ YEARS</v>
      </c>
      <c r="J345">
        <v>241831</v>
      </c>
      <c r="K345" s="5" t="str" cm="1">
        <f t="array" ref="K345">_xlfn.IFS(Table4[[#This Row],[Salary]]&lt;50000, "0-50K",Table4[[#This Row],[Salary]]&lt;100000, "50K-1L",Table4[[#This Row],[Salary]]&lt;150000, "1L-1.5L",Table4[[#This Row],[Salary]]&lt;200000, "1.5-2L",Table4[[#This Row],[Salary]]&gt;=200000, "2L+")</f>
        <v>2L+</v>
      </c>
    </row>
    <row r="346" spans="1:11" x14ac:dyDescent="0.3">
      <c r="A346">
        <v>344</v>
      </c>
      <c r="B346">
        <v>6354</v>
      </c>
      <c r="C346">
        <v>46</v>
      </c>
      <c r="D346" s="5" t="str" cm="1">
        <f t="array" ref="D346">_xlfn.IFS(C346&lt;30, "20-29",C346&lt;40, "30-39",C346&lt;50, "40-49",C346&lt;60, "50-59",Table4[[#This Row],[Age]]&gt;=60, "60+"  )</f>
        <v>40-49</v>
      </c>
      <c r="E346" t="s">
        <v>8</v>
      </c>
      <c r="F346" t="b">
        <v>1</v>
      </c>
      <c r="G346" s="1">
        <v>43886</v>
      </c>
      <c r="H346">
        <v>22</v>
      </c>
      <c r="I346" s="5" t="str" cm="1">
        <f t="array" ref="I346">_xlfn.IFS(Table4[[#This Row],[Experience]]&lt;15, "7-15 YEARS",Table4[[#This Row],[Experience]]&lt;23, "15-23  YEARS",Table4[[#This Row],[Experience]]&lt;30, "23-30 YEARS",Table4[[#This Row],[Experience]]&gt;=30, "30+ YEARS")</f>
        <v>15-23  YEARS</v>
      </c>
      <c r="J346">
        <v>174392</v>
      </c>
      <c r="K346" s="5" t="str" cm="1">
        <f t="array" ref="K346">_xlfn.IFS(Table4[[#This Row],[Salary]]&lt;50000, "0-50K",Table4[[#This Row],[Salary]]&lt;100000, "50K-1L",Table4[[#This Row],[Salary]]&lt;150000, "1L-1.5L",Table4[[#This Row],[Salary]]&lt;200000, "1.5-2L",Table4[[#This Row],[Salary]]&gt;=200000, "2L+")</f>
        <v>1.5-2L</v>
      </c>
    </row>
    <row r="347" spans="1:11" x14ac:dyDescent="0.3">
      <c r="A347">
        <v>345</v>
      </c>
      <c r="B347">
        <v>9023</v>
      </c>
      <c r="C347">
        <v>44</v>
      </c>
      <c r="D347" s="5" t="str" cm="1">
        <f t="array" ref="D347">_xlfn.IFS(C347&lt;30, "20-29",C347&lt;40, "30-39",C347&lt;50, "40-49",C347&lt;60, "50-59",Table4[[#This Row],[Age]]&gt;=60, "60+"  )</f>
        <v>40-49</v>
      </c>
      <c r="E347" t="s">
        <v>9</v>
      </c>
      <c r="F347" t="b">
        <v>1</v>
      </c>
      <c r="G347" s="1">
        <v>36328</v>
      </c>
      <c r="H347">
        <v>21</v>
      </c>
      <c r="I347" s="5" t="str" cm="1">
        <f t="array" ref="I347">_xlfn.IFS(Table4[[#This Row],[Experience]]&lt;15, "7-15 YEARS",Table4[[#This Row],[Experience]]&lt;23, "15-23  YEARS",Table4[[#This Row],[Experience]]&lt;30, "23-30 YEARS",Table4[[#This Row],[Experience]]&gt;=30, "30+ YEARS")</f>
        <v>15-23  YEARS</v>
      </c>
      <c r="J347">
        <v>166153</v>
      </c>
      <c r="K347" s="5" t="str" cm="1">
        <f t="array" ref="K347">_xlfn.IFS(Table4[[#This Row],[Salary]]&lt;50000, "0-50K",Table4[[#This Row],[Salary]]&lt;100000, "50K-1L",Table4[[#This Row],[Salary]]&lt;150000, "1L-1.5L",Table4[[#This Row],[Salary]]&lt;200000, "1.5-2L",Table4[[#This Row],[Salary]]&gt;=200000, "2L+")</f>
        <v>1.5-2L</v>
      </c>
    </row>
    <row r="348" spans="1:11" x14ac:dyDescent="0.3">
      <c r="A348">
        <v>346</v>
      </c>
      <c r="B348">
        <v>9431</v>
      </c>
      <c r="C348">
        <v>22</v>
      </c>
      <c r="D348" s="5" t="str" cm="1">
        <f t="array" ref="D348">_xlfn.IFS(C348&lt;30, "20-29",C348&lt;40, "30-39",C348&lt;50, "40-49",C348&lt;60, "50-59",Table4[[#This Row],[Age]]&gt;=60, "60+"  )</f>
        <v>20-29</v>
      </c>
      <c r="E348" t="s">
        <v>12</v>
      </c>
      <c r="F348" t="b">
        <v>0</v>
      </c>
      <c r="G348" s="1">
        <v>30773</v>
      </c>
      <c r="H348">
        <v>14</v>
      </c>
      <c r="I348" s="5" t="str" cm="1">
        <f t="array" ref="I348">_xlfn.IFS(Table4[[#This Row],[Experience]]&lt;15, "7-15 YEARS",Table4[[#This Row],[Experience]]&lt;23, "15-23  YEARS",Table4[[#This Row],[Experience]]&lt;30, "23-30 YEARS",Table4[[#This Row],[Experience]]&gt;=30, "30+ YEARS")</f>
        <v>7-15 YEARS</v>
      </c>
      <c r="J348">
        <v>116114</v>
      </c>
      <c r="K348" s="5" t="str" cm="1">
        <f t="array" ref="K348">_xlfn.IFS(Table4[[#This Row],[Salary]]&lt;50000, "0-50K",Table4[[#This Row],[Salary]]&lt;100000, "50K-1L",Table4[[#This Row],[Salary]]&lt;150000, "1L-1.5L",Table4[[#This Row],[Salary]]&lt;200000, "1.5-2L",Table4[[#This Row],[Salary]]&gt;=200000, "2L+")</f>
        <v>1L-1.5L</v>
      </c>
    </row>
    <row r="349" spans="1:11" x14ac:dyDescent="0.3">
      <c r="A349">
        <v>347</v>
      </c>
      <c r="B349">
        <v>1279</v>
      </c>
      <c r="C349">
        <v>54</v>
      </c>
      <c r="D349" s="5" t="str" cm="1">
        <f t="array" ref="D349">_xlfn.IFS(C349&lt;30, "20-29",C349&lt;40, "30-39",C349&lt;50, "40-49",C349&lt;60, "50-59",Table4[[#This Row],[Age]]&gt;=60, "60+"  )</f>
        <v>50-59</v>
      </c>
      <c r="E349" t="s">
        <v>9</v>
      </c>
      <c r="F349" t="b">
        <v>0</v>
      </c>
      <c r="G349" s="1">
        <v>29702</v>
      </c>
      <c r="H349">
        <v>26</v>
      </c>
      <c r="I349" s="5" t="str" cm="1">
        <f t="array" ref="I349">_xlfn.IFS(Table4[[#This Row],[Experience]]&lt;15, "7-15 YEARS",Table4[[#This Row],[Experience]]&lt;23, "15-23  YEARS",Table4[[#This Row],[Experience]]&lt;30, "23-30 YEARS",Table4[[#This Row],[Experience]]&gt;=30, "30+ YEARS")</f>
        <v>23-30 YEARS</v>
      </c>
      <c r="J349">
        <v>215298</v>
      </c>
      <c r="K349" s="5" t="str" cm="1">
        <f t="array" ref="K349">_xlfn.IFS(Table4[[#This Row],[Salary]]&lt;50000, "0-50K",Table4[[#This Row],[Salary]]&lt;100000, "50K-1L",Table4[[#This Row],[Salary]]&lt;150000, "1L-1.5L",Table4[[#This Row],[Salary]]&lt;200000, "1.5-2L",Table4[[#This Row],[Salary]]&gt;=200000, "2L+")</f>
        <v>2L+</v>
      </c>
    </row>
    <row r="350" spans="1:11" x14ac:dyDescent="0.3">
      <c r="A350">
        <v>348</v>
      </c>
      <c r="B350">
        <v>5865</v>
      </c>
      <c r="C350">
        <v>44</v>
      </c>
      <c r="D350" s="5" t="str" cm="1">
        <f t="array" ref="D350">_xlfn.IFS(C350&lt;30, "20-29",C350&lt;40, "30-39",C350&lt;50, "40-49",C350&lt;60, "50-59",Table4[[#This Row],[Age]]&gt;=60, "60+"  )</f>
        <v>40-49</v>
      </c>
      <c r="E350" t="s">
        <v>9</v>
      </c>
      <c r="F350" t="b">
        <v>0</v>
      </c>
      <c r="G350" s="1">
        <v>44517</v>
      </c>
      <c r="H350">
        <v>20</v>
      </c>
      <c r="I350" s="5" t="str" cm="1">
        <f t="array" ref="I350">_xlfn.IFS(Table4[[#This Row],[Experience]]&lt;15, "7-15 YEARS",Table4[[#This Row],[Experience]]&lt;23, "15-23  YEARS",Table4[[#This Row],[Experience]]&lt;30, "23-30 YEARS",Table4[[#This Row],[Experience]]&gt;=30, "30+ YEARS")</f>
        <v>15-23  YEARS</v>
      </c>
      <c r="J350">
        <v>161836</v>
      </c>
      <c r="K350" s="5" t="str" cm="1">
        <f t="array" ref="K350">_xlfn.IFS(Table4[[#This Row],[Salary]]&lt;50000, "0-50K",Table4[[#This Row],[Salary]]&lt;100000, "50K-1L",Table4[[#This Row],[Salary]]&lt;150000, "1L-1.5L",Table4[[#This Row],[Salary]]&lt;200000, "1.5-2L",Table4[[#This Row],[Salary]]&gt;=200000, "2L+")</f>
        <v>1.5-2L</v>
      </c>
    </row>
    <row r="351" spans="1:11" x14ac:dyDescent="0.3">
      <c r="A351">
        <v>349</v>
      </c>
      <c r="B351">
        <v>8816</v>
      </c>
      <c r="C351">
        <v>43</v>
      </c>
      <c r="D351" s="5" t="str" cm="1">
        <f t="array" ref="D351">_xlfn.IFS(C351&lt;30, "20-29",C351&lt;40, "30-39",C351&lt;50, "40-49",C351&lt;60, "50-59",Table4[[#This Row],[Age]]&gt;=60, "60+"  )</f>
        <v>40-49</v>
      </c>
      <c r="E351" t="s">
        <v>12</v>
      </c>
      <c r="F351" t="b">
        <v>1</v>
      </c>
      <c r="G351" s="1">
        <v>35134</v>
      </c>
      <c r="H351">
        <v>21</v>
      </c>
      <c r="I351" s="5" t="str" cm="1">
        <f t="array" ref="I351">_xlfn.IFS(Table4[[#This Row],[Experience]]&lt;15, "7-15 YEARS",Table4[[#This Row],[Experience]]&lt;23, "15-23  YEARS",Table4[[#This Row],[Experience]]&lt;30, "23-30 YEARS",Table4[[#This Row],[Experience]]&gt;=30, "30+ YEARS")</f>
        <v>15-23  YEARS</v>
      </c>
      <c r="J351">
        <v>156464</v>
      </c>
      <c r="K351" s="5" t="str" cm="1">
        <f t="array" ref="K351">_xlfn.IFS(Table4[[#This Row],[Salary]]&lt;50000, "0-50K",Table4[[#This Row],[Salary]]&lt;100000, "50K-1L",Table4[[#This Row],[Salary]]&lt;150000, "1L-1.5L",Table4[[#This Row],[Salary]]&lt;200000, "1.5-2L",Table4[[#This Row],[Salary]]&gt;=200000, "2L+")</f>
        <v>1.5-2L</v>
      </c>
    </row>
    <row r="352" spans="1:11" x14ac:dyDescent="0.3">
      <c r="A352">
        <v>350</v>
      </c>
      <c r="B352">
        <v>7352</v>
      </c>
      <c r="C352">
        <v>51</v>
      </c>
      <c r="D352" s="5" t="str" cm="1">
        <f t="array" ref="D352">_xlfn.IFS(C352&lt;30, "20-29",C352&lt;40, "30-39",C352&lt;50, "40-49",C352&lt;60, "50-59",Table4[[#This Row],[Age]]&gt;=60, "60+"  )</f>
        <v>50-59</v>
      </c>
      <c r="E352" t="s">
        <v>10</v>
      </c>
      <c r="F352" t="b">
        <v>1</v>
      </c>
      <c r="G352" s="1">
        <v>35140</v>
      </c>
      <c r="H352">
        <v>21</v>
      </c>
      <c r="I352" s="5" t="str" cm="1">
        <f t="array" ref="I352">_xlfn.IFS(Table4[[#This Row],[Experience]]&lt;15, "7-15 YEARS",Table4[[#This Row],[Experience]]&lt;23, "15-23  YEARS",Table4[[#This Row],[Experience]]&lt;30, "23-30 YEARS",Table4[[#This Row],[Experience]]&gt;=30, "30+ YEARS")</f>
        <v>15-23  YEARS</v>
      </c>
      <c r="J352">
        <v>161728</v>
      </c>
      <c r="K352" s="5" t="str" cm="1">
        <f t="array" ref="K352">_xlfn.IFS(Table4[[#This Row],[Salary]]&lt;50000, "0-50K",Table4[[#This Row],[Salary]]&lt;100000, "50K-1L",Table4[[#This Row],[Salary]]&lt;150000, "1L-1.5L",Table4[[#This Row],[Salary]]&lt;200000, "1.5-2L",Table4[[#This Row],[Salary]]&gt;=200000, "2L+")</f>
        <v>1.5-2L</v>
      </c>
    </row>
    <row r="353" spans="1:11" x14ac:dyDescent="0.3">
      <c r="A353">
        <v>351</v>
      </c>
      <c r="B353">
        <v>8570</v>
      </c>
      <c r="C353">
        <v>26</v>
      </c>
      <c r="D353" s="5" t="str" cm="1">
        <f t="array" ref="D353">_xlfn.IFS(C353&lt;30, "20-29",C353&lt;40, "30-39",C353&lt;50, "40-49",C353&lt;60, "50-59",Table4[[#This Row],[Age]]&gt;=60, "60+"  )</f>
        <v>20-29</v>
      </c>
      <c r="E353" t="s">
        <v>10</v>
      </c>
      <c r="F353" t="b">
        <v>1</v>
      </c>
      <c r="G353" s="1">
        <v>36214</v>
      </c>
      <c r="H353">
        <v>13</v>
      </c>
      <c r="I353" s="5" t="str" cm="1">
        <f t="array" ref="I353">_xlfn.IFS(Table4[[#This Row],[Experience]]&lt;15, "7-15 YEARS",Table4[[#This Row],[Experience]]&lt;23, "15-23  YEARS",Table4[[#This Row],[Experience]]&lt;30, "23-30 YEARS",Table4[[#This Row],[Experience]]&gt;=30, "30+ YEARS")</f>
        <v>7-15 YEARS</v>
      </c>
      <c r="J353">
        <v>108822</v>
      </c>
      <c r="K353" s="5" t="str" cm="1">
        <f t="array" ref="K353">_xlfn.IFS(Table4[[#This Row],[Salary]]&lt;50000, "0-50K",Table4[[#This Row],[Salary]]&lt;100000, "50K-1L",Table4[[#This Row],[Salary]]&lt;150000, "1L-1.5L",Table4[[#This Row],[Salary]]&lt;200000, "1.5-2L",Table4[[#This Row],[Salary]]&gt;=200000, "2L+")</f>
        <v>1L-1.5L</v>
      </c>
    </row>
    <row r="354" spans="1:11" x14ac:dyDescent="0.3">
      <c r="A354">
        <v>352</v>
      </c>
      <c r="B354">
        <v>7873</v>
      </c>
      <c r="C354">
        <v>62</v>
      </c>
      <c r="D354" s="5" t="str" cm="1">
        <f t="array" ref="D354">_xlfn.IFS(C354&lt;30, "20-29",C354&lt;40, "30-39",C354&lt;50, "40-49",C354&lt;60, "50-59",Table4[[#This Row],[Age]]&gt;=60, "60+"  )</f>
        <v>60+</v>
      </c>
      <c r="E354" t="s">
        <v>12</v>
      </c>
      <c r="F354" t="b">
        <v>1</v>
      </c>
      <c r="G354" s="1">
        <v>30672</v>
      </c>
      <c r="H354">
        <v>31</v>
      </c>
      <c r="I354" s="5" t="str" cm="1">
        <f t="array" ref="I354">_xlfn.IFS(Table4[[#This Row],[Experience]]&lt;15, "7-15 YEARS",Table4[[#This Row],[Experience]]&lt;23, "15-23  YEARS",Table4[[#This Row],[Experience]]&lt;30, "23-30 YEARS",Table4[[#This Row],[Experience]]&gt;=30, "30+ YEARS")</f>
        <v>30+ YEARS</v>
      </c>
      <c r="J354">
        <v>242129</v>
      </c>
      <c r="K354" s="5" t="str" cm="1">
        <f t="array" ref="K354">_xlfn.IFS(Table4[[#This Row],[Salary]]&lt;50000, "0-50K",Table4[[#This Row],[Salary]]&lt;100000, "50K-1L",Table4[[#This Row],[Salary]]&lt;150000, "1L-1.5L",Table4[[#This Row],[Salary]]&lt;200000, "1.5-2L",Table4[[#This Row],[Salary]]&gt;=200000, "2L+")</f>
        <v>2L+</v>
      </c>
    </row>
    <row r="355" spans="1:11" x14ac:dyDescent="0.3">
      <c r="A355">
        <v>353</v>
      </c>
      <c r="B355">
        <v>5037</v>
      </c>
      <c r="C355">
        <v>49</v>
      </c>
      <c r="D355" s="5" t="str" cm="1">
        <f t="array" ref="D355">_xlfn.IFS(C355&lt;30, "20-29",C355&lt;40, "30-39",C355&lt;50, "40-49",C355&lt;60, "50-59",Table4[[#This Row],[Age]]&gt;=60, "60+"  )</f>
        <v>40-49</v>
      </c>
      <c r="E355" t="s">
        <v>12</v>
      </c>
      <c r="F355" t="b">
        <v>1</v>
      </c>
      <c r="G355" s="1">
        <v>38596</v>
      </c>
      <c r="H355">
        <v>25</v>
      </c>
      <c r="I355" s="5" t="str" cm="1">
        <f t="array" ref="I355">_xlfn.IFS(Table4[[#This Row],[Experience]]&lt;15, "7-15 YEARS",Table4[[#This Row],[Experience]]&lt;23, "15-23  YEARS",Table4[[#This Row],[Experience]]&lt;30, "23-30 YEARS",Table4[[#This Row],[Experience]]&gt;=30, "30+ YEARS")</f>
        <v>23-30 YEARS</v>
      </c>
      <c r="J355">
        <v>208439</v>
      </c>
      <c r="K355" s="5" t="str" cm="1">
        <f t="array" ref="K355">_xlfn.IFS(Table4[[#This Row],[Salary]]&lt;50000, "0-50K",Table4[[#This Row],[Salary]]&lt;100000, "50K-1L",Table4[[#This Row],[Salary]]&lt;150000, "1L-1.5L",Table4[[#This Row],[Salary]]&lt;200000, "1.5-2L",Table4[[#This Row],[Salary]]&gt;=200000, "2L+")</f>
        <v>2L+</v>
      </c>
    </row>
    <row r="356" spans="1:11" x14ac:dyDescent="0.3">
      <c r="A356">
        <v>354</v>
      </c>
      <c r="B356">
        <v>6812</v>
      </c>
      <c r="C356">
        <v>31</v>
      </c>
      <c r="D356" s="5" t="str" cm="1">
        <f t="array" ref="D356">_xlfn.IFS(C356&lt;30, "20-29",C356&lt;40, "30-39",C356&lt;50, "40-49",C356&lt;60, "50-59",Table4[[#This Row],[Age]]&gt;=60, "60+"  )</f>
        <v>30-39</v>
      </c>
      <c r="E356" t="s">
        <v>10</v>
      </c>
      <c r="F356" t="b">
        <v>1</v>
      </c>
      <c r="G356" s="1">
        <v>26883</v>
      </c>
      <c r="H356">
        <v>16</v>
      </c>
      <c r="I356" s="5" t="str" cm="1">
        <f t="array" ref="I356">_xlfn.IFS(Table4[[#This Row],[Experience]]&lt;15, "7-15 YEARS",Table4[[#This Row],[Experience]]&lt;23, "15-23  YEARS",Table4[[#This Row],[Experience]]&lt;30, "23-30 YEARS",Table4[[#This Row],[Experience]]&gt;=30, "30+ YEARS")</f>
        <v>15-23  YEARS</v>
      </c>
      <c r="J356">
        <v>132859</v>
      </c>
      <c r="K356" s="5" t="str" cm="1">
        <f t="array" ref="K356">_xlfn.IFS(Table4[[#This Row],[Salary]]&lt;50000, "0-50K",Table4[[#This Row],[Salary]]&lt;100000, "50K-1L",Table4[[#This Row],[Salary]]&lt;150000, "1L-1.5L",Table4[[#This Row],[Salary]]&lt;200000, "1.5-2L",Table4[[#This Row],[Salary]]&gt;=200000, "2L+")</f>
        <v>1L-1.5L</v>
      </c>
    </row>
    <row r="357" spans="1:11" x14ac:dyDescent="0.3">
      <c r="A357">
        <v>355</v>
      </c>
      <c r="B357">
        <v>6228</v>
      </c>
      <c r="C357">
        <v>48</v>
      </c>
      <c r="D357" s="5" t="str" cm="1">
        <f t="array" ref="D357">_xlfn.IFS(C357&lt;30, "20-29",C357&lt;40, "30-39",C357&lt;50, "40-49",C357&lt;60, "50-59",Table4[[#This Row],[Age]]&gt;=60, "60+"  )</f>
        <v>40-49</v>
      </c>
      <c r="E357" t="s">
        <v>12</v>
      </c>
      <c r="F357" t="b">
        <v>0</v>
      </c>
      <c r="G357" s="1">
        <v>31508</v>
      </c>
      <c r="H357">
        <v>25</v>
      </c>
      <c r="I357" s="5" t="str" cm="1">
        <f t="array" ref="I357">_xlfn.IFS(Table4[[#This Row],[Experience]]&lt;15, "7-15 YEARS",Table4[[#This Row],[Experience]]&lt;23, "15-23  YEARS",Table4[[#This Row],[Experience]]&lt;30, "23-30 YEARS",Table4[[#This Row],[Experience]]&gt;=30, "30+ YEARS")</f>
        <v>23-30 YEARS</v>
      </c>
      <c r="J357">
        <v>197639</v>
      </c>
      <c r="K357" s="5" t="str" cm="1">
        <f t="array" ref="K357">_xlfn.IFS(Table4[[#This Row],[Salary]]&lt;50000, "0-50K",Table4[[#This Row],[Salary]]&lt;100000, "50K-1L",Table4[[#This Row],[Salary]]&lt;150000, "1L-1.5L",Table4[[#This Row],[Salary]]&lt;200000, "1.5-2L",Table4[[#This Row],[Salary]]&gt;=200000, "2L+")</f>
        <v>1.5-2L</v>
      </c>
    </row>
    <row r="358" spans="1:11" x14ac:dyDescent="0.3">
      <c r="A358">
        <v>356</v>
      </c>
      <c r="B358">
        <v>1541</v>
      </c>
      <c r="C358">
        <v>27</v>
      </c>
      <c r="D358" s="5" t="str" cm="1">
        <f t="array" ref="D358">_xlfn.IFS(C358&lt;30, "20-29",C358&lt;40, "30-39",C358&lt;50, "40-49",C358&lt;60, "50-59",Table4[[#This Row],[Age]]&gt;=60, "60+"  )</f>
        <v>20-29</v>
      </c>
      <c r="E358" t="s">
        <v>12</v>
      </c>
      <c r="F358" t="b">
        <v>1</v>
      </c>
      <c r="G358" s="1">
        <v>31696</v>
      </c>
      <c r="H358">
        <v>11</v>
      </c>
      <c r="I358" s="5" t="str" cm="1">
        <f t="array" ref="I358">_xlfn.IFS(Table4[[#This Row],[Experience]]&lt;15, "7-15 YEARS",Table4[[#This Row],[Experience]]&lt;23, "15-23  YEARS",Table4[[#This Row],[Experience]]&lt;30, "23-30 YEARS",Table4[[#This Row],[Experience]]&gt;=30, "30+ YEARS")</f>
        <v>7-15 YEARS</v>
      </c>
      <c r="J358">
        <v>78632</v>
      </c>
      <c r="K358" s="5" t="str" cm="1">
        <f t="array" ref="K358">_xlfn.IFS(Table4[[#This Row],[Salary]]&lt;50000, "0-50K",Table4[[#This Row],[Salary]]&lt;100000, "50K-1L",Table4[[#This Row],[Salary]]&lt;150000, "1L-1.5L",Table4[[#This Row],[Salary]]&lt;200000, "1.5-2L",Table4[[#This Row],[Salary]]&gt;=200000, "2L+")</f>
        <v>50K-1L</v>
      </c>
    </row>
    <row r="359" spans="1:11" x14ac:dyDescent="0.3">
      <c r="A359">
        <v>357</v>
      </c>
      <c r="B359">
        <v>4009</v>
      </c>
      <c r="C359">
        <v>23</v>
      </c>
      <c r="D359" s="5" t="str" cm="1">
        <f t="array" ref="D359">_xlfn.IFS(C359&lt;30, "20-29",C359&lt;40, "30-39",C359&lt;50, "40-49",C359&lt;60, "50-59",Table4[[#This Row],[Age]]&gt;=60, "60+"  )</f>
        <v>20-29</v>
      </c>
      <c r="E359" t="s">
        <v>8</v>
      </c>
      <c r="F359" t="b">
        <v>1</v>
      </c>
      <c r="G359" s="1">
        <v>27712</v>
      </c>
      <c r="H359">
        <v>11</v>
      </c>
      <c r="I359" s="5" t="str" cm="1">
        <f t="array" ref="I359">_xlfn.IFS(Table4[[#This Row],[Experience]]&lt;15, "7-15 YEARS",Table4[[#This Row],[Experience]]&lt;23, "15-23  YEARS",Table4[[#This Row],[Experience]]&lt;30, "23-30 YEARS",Table4[[#This Row],[Experience]]&gt;=30, "30+ YEARS")</f>
        <v>7-15 YEARS</v>
      </c>
      <c r="J359">
        <v>80817</v>
      </c>
      <c r="K359" s="5" t="str" cm="1">
        <f t="array" ref="K359">_xlfn.IFS(Table4[[#This Row],[Salary]]&lt;50000, "0-50K",Table4[[#This Row],[Salary]]&lt;100000, "50K-1L",Table4[[#This Row],[Salary]]&lt;150000, "1L-1.5L",Table4[[#This Row],[Salary]]&lt;200000, "1.5-2L",Table4[[#This Row],[Salary]]&gt;=200000, "2L+")</f>
        <v>50K-1L</v>
      </c>
    </row>
    <row r="360" spans="1:11" x14ac:dyDescent="0.3">
      <c r="A360">
        <v>358</v>
      </c>
      <c r="B360">
        <v>8185</v>
      </c>
      <c r="C360">
        <v>46</v>
      </c>
      <c r="D360" s="5" t="str" cm="1">
        <f t="array" ref="D360">_xlfn.IFS(C360&lt;30, "20-29",C360&lt;40, "30-39",C360&lt;50, "40-49",C360&lt;60, "50-59",Table4[[#This Row],[Age]]&gt;=60, "60+"  )</f>
        <v>40-49</v>
      </c>
      <c r="E360" t="s">
        <v>12</v>
      </c>
      <c r="F360" t="b">
        <v>0</v>
      </c>
      <c r="G360" s="1">
        <v>35164</v>
      </c>
      <c r="H360">
        <v>20</v>
      </c>
      <c r="I360" s="5" t="str" cm="1">
        <f t="array" ref="I360">_xlfn.IFS(Table4[[#This Row],[Experience]]&lt;15, "7-15 YEARS",Table4[[#This Row],[Experience]]&lt;23, "15-23  YEARS",Table4[[#This Row],[Experience]]&lt;30, "23-30 YEARS",Table4[[#This Row],[Experience]]&gt;=30, "30+ YEARS")</f>
        <v>15-23  YEARS</v>
      </c>
      <c r="J360">
        <v>169224</v>
      </c>
      <c r="K360" s="5" t="str" cm="1">
        <f t="array" ref="K360">_xlfn.IFS(Table4[[#This Row],[Salary]]&lt;50000, "0-50K",Table4[[#This Row],[Salary]]&lt;100000, "50K-1L",Table4[[#This Row],[Salary]]&lt;150000, "1L-1.5L",Table4[[#This Row],[Salary]]&lt;200000, "1.5-2L",Table4[[#This Row],[Salary]]&gt;=200000, "2L+")</f>
        <v>1.5-2L</v>
      </c>
    </row>
    <row r="361" spans="1:11" x14ac:dyDescent="0.3">
      <c r="A361">
        <v>359</v>
      </c>
      <c r="B361">
        <v>8399</v>
      </c>
      <c r="C361">
        <v>24</v>
      </c>
      <c r="D361" s="5" t="str" cm="1">
        <f t="array" ref="D361">_xlfn.IFS(C361&lt;30, "20-29",C361&lt;40, "30-39",C361&lt;50, "40-49",C361&lt;60, "50-59",Table4[[#This Row],[Age]]&gt;=60, "60+"  )</f>
        <v>20-29</v>
      </c>
      <c r="E361" t="s">
        <v>11</v>
      </c>
      <c r="F361" t="b">
        <v>1</v>
      </c>
      <c r="G361" s="1">
        <v>41150</v>
      </c>
      <c r="H361">
        <v>9</v>
      </c>
      <c r="I361" s="5" t="str" cm="1">
        <f t="array" ref="I361">_xlfn.IFS(Table4[[#This Row],[Experience]]&lt;15, "7-15 YEARS",Table4[[#This Row],[Experience]]&lt;23, "15-23  YEARS",Table4[[#This Row],[Experience]]&lt;30, "23-30 YEARS",Table4[[#This Row],[Experience]]&gt;=30, "30+ YEARS")</f>
        <v>7-15 YEARS</v>
      </c>
      <c r="J361">
        <v>69736</v>
      </c>
      <c r="K361" s="5" t="str" cm="1">
        <f t="array" ref="K361">_xlfn.IFS(Table4[[#This Row],[Salary]]&lt;50000, "0-50K",Table4[[#This Row],[Salary]]&lt;100000, "50K-1L",Table4[[#This Row],[Salary]]&lt;150000, "1L-1.5L",Table4[[#This Row],[Salary]]&lt;200000, "1.5-2L",Table4[[#This Row],[Salary]]&gt;=200000, "2L+")</f>
        <v>50K-1L</v>
      </c>
    </row>
    <row r="362" spans="1:11" x14ac:dyDescent="0.3">
      <c r="A362">
        <v>360</v>
      </c>
      <c r="B362">
        <v>4196</v>
      </c>
      <c r="C362">
        <v>52</v>
      </c>
      <c r="D362" s="5" t="str" cm="1">
        <f t="array" ref="D362">_xlfn.IFS(C362&lt;30, "20-29",C362&lt;40, "30-39",C362&lt;50, "40-49",C362&lt;60, "50-59",Table4[[#This Row],[Age]]&gt;=60, "60+"  )</f>
        <v>50-59</v>
      </c>
      <c r="E362" t="s">
        <v>10</v>
      </c>
      <c r="F362" t="b">
        <v>0</v>
      </c>
      <c r="G362" s="1">
        <v>41759</v>
      </c>
      <c r="H362">
        <v>22</v>
      </c>
      <c r="I362" s="5" t="str" cm="1">
        <f t="array" ref="I362">_xlfn.IFS(Table4[[#This Row],[Experience]]&lt;15, "7-15 YEARS",Table4[[#This Row],[Experience]]&lt;23, "15-23  YEARS",Table4[[#This Row],[Experience]]&lt;30, "23-30 YEARS",Table4[[#This Row],[Experience]]&gt;=30, "30+ YEARS")</f>
        <v>15-23  YEARS</v>
      </c>
      <c r="J362">
        <v>172041</v>
      </c>
      <c r="K362" s="5" t="str" cm="1">
        <f t="array" ref="K362">_xlfn.IFS(Table4[[#This Row],[Salary]]&lt;50000, "0-50K",Table4[[#This Row],[Salary]]&lt;100000, "50K-1L",Table4[[#This Row],[Salary]]&lt;150000, "1L-1.5L",Table4[[#This Row],[Salary]]&lt;200000, "1.5-2L",Table4[[#This Row],[Salary]]&gt;=200000, "2L+")</f>
        <v>1.5-2L</v>
      </c>
    </row>
    <row r="363" spans="1:11" x14ac:dyDescent="0.3">
      <c r="A363">
        <v>361</v>
      </c>
      <c r="B363">
        <v>1944</v>
      </c>
      <c r="C363">
        <v>49</v>
      </c>
      <c r="D363" s="5" t="str" cm="1">
        <f t="array" ref="D363">_xlfn.IFS(C363&lt;30, "20-29",C363&lt;40, "30-39",C363&lt;50, "40-49",C363&lt;60, "50-59",Table4[[#This Row],[Age]]&gt;=60, "60+"  )</f>
        <v>40-49</v>
      </c>
      <c r="E363" t="s">
        <v>9</v>
      </c>
      <c r="F363" t="b">
        <v>0</v>
      </c>
      <c r="G363" s="1">
        <v>40910</v>
      </c>
      <c r="H363">
        <v>22</v>
      </c>
      <c r="I363" s="5" t="str" cm="1">
        <f t="array" ref="I363">_xlfn.IFS(Table4[[#This Row],[Experience]]&lt;15, "7-15 YEARS",Table4[[#This Row],[Experience]]&lt;23, "15-23  YEARS",Table4[[#This Row],[Experience]]&lt;30, "23-30 YEARS",Table4[[#This Row],[Experience]]&gt;=30, "30+ YEARS")</f>
        <v>15-23  YEARS</v>
      </c>
      <c r="J363">
        <v>175269</v>
      </c>
      <c r="K363" s="5" t="str" cm="1">
        <f t="array" ref="K363">_xlfn.IFS(Table4[[#This Row],[Salary]]&lt;50000, "0-50K",Table4[[#This Row],[Salary]]&lt;100000, "50K-1L",Table4[[#This Row],[Salary]]&lt;150000, "1L-1.5L",Table4[[#This Row],[Salary]]&lt;200000, "1.5-2L",Table4[[#This Row],[Salary]]&gt;=200000, "2L+")</f>
        <v>1.5-2L</v>
      </c>
    </row>
    <row r="364" spans="1:11" x14ac:dyDescent="0.3">
      <c r="A364">
        <v>362</v>
      </c>
      <c r="B364">
        <v>4672</v>
      </c>
      <c r="C364">
        <v>27</v>
      </c>
      <c r="D364" s="5" t="str" cm="1">
        <f t="array" ref="D364">_xlfn.IFS(C364&lt;30, "20-29",C364&lt;40, "30-39",C364&lt;50, "40-49",C364&lt;60, "50-59",Table4[[#This Row],[Age]]&gt;=60, "60+"  )</f>
        <v>20-29</v>
      </c>
      <c r="E364" t="s">
        <v>9</v>
      </c>
      <c r="F364" t="b">
        <v>0</v>
      </c>
      <c r="G364" s="1">
        <v>35247</v>
      </c>
      <c r="H364">
        <v>12</v>
      </c>
      <c r="I364" s="5" t="str" cm="1">
        <f t="array" ref="I364">_xlfn.IFS(Table4[[#This Row],[Experience]]&lt;15, "7-15 YEARS",Table4[[#This Row],[Experience]]&lt;23, "15-23  YEARS",Table4[[#This Row],[Experience]]&lt;30, "23-30 YEARS",Table4[[#This Row],[Experience]]&gt;=30, "30+ YEARS")</f>
        <v>7-15 YEARS</v>
      </c>
      <c r="J364">
        <v>96587</v>
      </c>
      <c r="K364" s="5" t="str" cm="1">
        <f t="array" ref="K364">_xlfn.IFS(Table4[[#This Row],[Salary]]&lt;50000, "0-50K",Table4[[#This Row],[Salary]]&lt;100000, "50K-1L",Table4[[#This Row],[Salary]]&lt;150000, "1L-1.5L",Table4[[#This Row],[Salary]]&lt;200000, "1.5-2L",Table4[[#This Row],[Salary]]&gt;=200000, "2L+")</f>
        <v>50K-1L</v>
      </c>
    </row>
    <row r="365" spans="1:11" x14ac:dyDescent="0.3">
      <c r="A365">
        <v>363</v>
      </c>
      <c r="B365">
        <v>2424</v>
      </c>
      <c r="C365">
        <v>61</v>
      </c>
      <c r="D365" s="5" t="str" cm="1">
        <f t="array" ref="D365">_xlfn.IFS(C365&lt;30, "20-29",C365&lt;40, "30-39",C365&lt;50, "40-49",C365&lt;60, "50-59",Table4[[#This Row],[Age]]&gt;=60, "60+"  )</f>
        <v>60+</v>
      </c>
      <c r="E365" t="s">
        <v>8</v>
      </c>
      <c r="F365" t="b">
        <v>1</v>
      </c>
      <c r="G365" s="1">
        <v>42772</v>
      </c>
      <c r="H365">
        <v>28</v>
      </c>
      <c r="I365" s="5" t="str" cm="1">
        <f t="array" ref="I365">_xlfn.IFS(Table4[[#This Row],[Experience]]&lt;15, "7-15 YEARS",Table4[[#This Row],[Experience]]&lt;23, "15-23  YEARS",Table4[[#This Row],[Experience]]&lt;30, "23-30 YEARS",Table4[[#This Row],[Experience]]&gt;=30, "30+ YEARS")</f>
        <v>23-30 YEARS</v>
      </c>
      <c r="J365">
        <v>228121</v>
      </c>
      <c r="K365" s="5" t="str" cm="1">
        <f t="array" ref="K365">_xlfn.IFS(Table4[[#This Row],[Salary]]&lt;50000, "0-50K",Table4[[#This Row],[Salary]]&lt;100000, "50K-1L",Table4[[#This Row],[Salary]]&lt;150000, "1L-1.5L",Table4[[#This Row],[Salary]]&lt;200000, "1.5-2L",Table4[[#This Row],[Salary]]&gt;=200000, "2L+")</f>
        <v>2L+</v>
      </c>
    </row>
    <row r="366" spans="1:11" x14ac:dyDescent="0.3">
      <c r="A366">
        <v>364</v>
      </c>
      <c r="B366">
        <v>3389</v>
      </c>
      <c r="C366">
        <v>57</v>
      </c>
      <c r="D366" s="5" t="str" cm="1">
        <f t="array" ref="D366">_xlfn.IFS(C366&lt;30, "20-29",C366&lt;40, "30-39",C366&lt;50, "40-49",C366&lt;60, "50-59",Table4[[#This Row],[Age]]&gt;=60, "60+"  )</f>
        <v>50-59</v>
      </c>
      <c r="E366" t="s">
        <v>10</v>
      </c>
      <c r="F366" t="b">
        <v>0</v>
      </c>
      <c r="G366" s="1">
        <v>36031</v>
      </c>
      <c r="H366">
        <v>28</v>
      </c>
      <c r="I366" s="5" t="str" cm="1">
        <f t="array" ref="I366">_xlfn.IFS(Table4[[#This Row],[Experience]]&lt;15, "7-15 YEARS",Table4[[#This Row],[Experience]]&lt;23, "15-23  YEARS",Table4[[#This Row],[Experience]]&lt;30, "23-30 YEARS",Table4[[#This Row],[Experience]]&gt;=30, "30+ YEARS")</f>
        <v>23-30 YEARS</v>
      </c>
      <c r="J366">
        <v>219082</v>
      </c>
      <c r="K366" s="5" t="str" cm="1">
        <f t="array" ref="K366">_xlfn.IFS(Table4[[#This Row],[Salary]]&lt;50000, "0-50K",Table4[[#This Row],[Salary]]&lt;100000, "50K-1L",Table4[[#This Row],[Salary]]&lt;150000, "1L-1.5L",Table4[[#This Row],[Salary]]&lt;200000, "1.5-2L",Table4[[#This Row],[Salary]]&gt;=200000, "2L+")</f>
        <v>2L+</v>
      </c>
    </row>
    <row r="367" spans="1:11" x14ac:dyDescent="0.3">
      <c r="A367">
        <v>365</v>
      </c>
      <c r="B367">
        <v>9010</v>
      </c>
      <c r="C367">
        <v>30</v>
      </c>
      <c r="D367" s="5" t="str" cm="1">
        <f t="array" ref="D367">_xlfn.IFS(C367&lt;30, "20-29",C367&lt;40, "30-39",C367&lt;50, "40-49",C367&lt;60, "50-59",Table4[[#This Row],[Age]]&gt;=60, "60+"  )</f>
        <v>30-39</v>
      </c>
      <c r="E367" t="s">
        <v>9</v>
      </c>
      <c r="F367" t="b">
        <v>1</v>
      </c>
      <c r="G367" s="1">
        <v>26389</v>
      </c>
      <c r="H367">
        <v>14</v>
      </c>
      <c r="I367" s="5" t="str" cm="1">
        <f t="array" ref="I367">_xlfn.IFS(Table4[[#This Row],[Experience]]&lt;15, "7-15 YEARS",Table4[[#This Row],[Experience]]&lt;23, "15-23  YEARS",Table4[[#This Row],[Experience]]&lt;30, "23-30 YEARS",Table4[[#This Row],[Experience]]&gt;=30, "30+ YEARS")</f>
        <v>7-15 YEARS</v>
      </c>
      <c r="J367">
        <v>112660</v>
      </c>
      <c r="K367" s="5" t="str" cm="1">
        <f t="array" ref="K367">_xlfn.IFS(Table4[[#This Row],[Salary]]&lt;50000, "0-50K",Table4[[#This Row],[Salary]]&lt;100000, "50K-1L",Table4[[#This Row],[Salary]]&lt;150000, "1L-1.5L",Table4[[#This Row],[Salary]]&lt;200000, "1.5-2L",Table4[[#This Row],[Salary]]&gt;=200000, "2L+")</f>
        <v>1L-1.5L</v>
      </c>
    </row>
    <row r="368" spans="1:11" x14ac:dyDescent="0.3">
      <c r="A368">
        <v>366</v>
      </c>
      <c r="B368">
        <v>7713</v>
      </c>
      <c r="C368">
        <v>50</v>
      </c>
      <c r="D368" s="5" t="str" cm="1">
        <f t="array" ref="D368">_xlfn.IFS(C368&lt;30, "20-29",C368&lt;40, "30-39",C368&lt;50, "40-49",C368&lt;60, "50-59",Table4[[#This Row],[Age]]&gt;=60, "60+"  )</f>
        <v>50-59</v>
      </c>
      <c r="E368" t="s">
        <v>9</v>
      </c>
      <c r="F368" t="b">
        <v>1</v>
      </c>
      <c r="G368" s="1">
        <v>33906</v>
      </c>
      <c r="H368">
        <v>24</v>
      </c>
      <c r="I368" s="5" t="str" cm="1">
        <f t="array" ref="I368">_xlfn.IFS(Table4[[#This Row],[Experience]]&lt;15, "7-15 YEARS",Table4[[#This Row],[Experience]]&lt;23, "15-23  YEARS",Table4[[#This Row],[Experience]]&lt;30, "23-30 YEARS",Table4[[#This Row],[Experience]]&gt;=30, "30+ YEARS")</f>
        <v>23-30 YEARS</v>
      </c>
      <c r="J368">
        <v>192120</v>
      </c>
      <c r="K368" s="5" t="str" cm="1">
        <f t="array" ref="K368">_xlfn.IFS(Table4[[#This Row],[Salary]]&lt;50000, "0-50K",Table4[[#This Row],[Salary]]&lt;100000, "50K-1L",Table4[[#This Row],[Salary]]&lt;150000, "1L-1.5L",Table4[[#This Row],[Salary]]&lt;200000, "1.5-2L",Table4[[#This Row],[Salary]]&gt;=200000, "2L+")</f>
        <v>1.5-2L</v>
      </c>
    </row>
    <row r="369" spans="1:11" x14ac:dyDescent="0.3">
      <c r="A369">
        <v>367</v>
      </c>
      <c r="B369">
        <v>4303</v>
      </c>
      <c r="C369">
        <v>35</v>
      </c>
      <c r="D369" s="5" t="str" cm="1">
        <f t="array" ref="D369">_xlfn.IFS(C369&lt;30, "20-29",C369&lt;40, "30-39",C369&lt;50, "40-49",C369&lt;60, "50-59",Table4[[#This Row],[Age]]&gt;=60, "60+"  )</f>
        <v>30-39</v>
      </c>
      <c r="E369" t="s">
        <v>8</v>
      </c>
      <c r="F369" t="b">
        <v>0</v>
      </c>
      <c r="G369" s="1">
        <v>43071</v>
      </c>
      <c r="H369">
        <v>17</v>
      </c>
      <c r="I369" s="5" t="str" cm="1">
        <f t="array" ref="I369">_xlfn.IFS(Table4[[#This Row],[Experience]]&lt;15, "7-15 YEARS",Table4[[#This Row],[Experience]]&lt;23, "15-23  YEARS",Table4[[#This Row],[Experience]]&lt;30, "23-30 YEARS",Table4[[#This Row],[Experience]]&gt;=30, "30+ YEARS")</f>
        <v>15-23  YEARS</v>
      </c>
      <c r="J369">
        <v>138446</v>
      </c>
      <c r="K369" s="5" t="str" cm="1">
        <f t="array" ref="K369">_xlfn.IFS(Table4[[#This Row],[Salary]]&lt;50000, "0-50K",Table4[[#This Row],[Salary]]&lt;100000, "50K-1L",Table4[[#This Row],[Salary]]&lt;150000, "1L-1.5L",Table4[[#This Row],[Salary]]&lt;200000, "1.5-2L",Table4[[#This Row],[Salary]]&gt;=200000, "2L+")</f>
        <v>1L-1.5L</v>
      </c>
    </row>
    <row r="370" spans="1:11" x14ac:dyDescent="0.3">
      <c r="A370">
        <v>368</v>
      </c>
      <c r="B370">
        <v>7683</v>
      </c>
      <c r="C370">
        <v>62</v>
      </c>
      <c r="D370" s="5" t="str" cm="1">
        <f t="array" ref="D370">_xlfn.IFS(C370&lt;30, "20-29",C370&lt;40, "30-39",C370&lt;50, "40-49",C370&lt;60, "50-59",Table4[[#This Row],[Age]]&gt;=60, "60+"  )</f>
        <v>60+</v>
      </c>
      <c r="E370" t="s">
        <v>10</v>
      </c>
      <c r="F370" t="b">
        <v>1</v>
      </c>
      <c r="G370" s="1">
        <v>42932</v>
      </c>
      <c r="H370">
        <v>31</v>
      </c>
      <c r="I370" s="5" t="str" cm="1">
        <f t="array" ref="I370">_xlfn.IFS(Table4[[#This Row],[Experience]]&lt;15, "7-15 YEARS",Table4[[#This Row],[Experience]]&lt;23, "15-23  YEARS",Table4[[#This Row],[Experience]]&lt;30, "23-30 YEARS",Table4[[#This Row],[Experience]]&gt;=30, "30+ YEARS")</f>
        <v>30+ YEARS</v>
      </c>
      <c r="J370">
        <v>248320</v>
      </c>
      <c r="K370" s="5" t="str" cm="1">
        <f t="array" ref="K370">_xlfn.IFS(Table4[[#This Row],[Salary]]&lt;50000, "0-50K",Table4[[#This Row],[Salary]]&lt;100000, "50K-1L",Table4[[#This Row],[Salary]]&lt;150000, "1L-1.5L",Table4[[#This Row],[Salary]]&lt;200000, "1.5-2L",Table4[[#This Row],[Salary]]&gt;=200000, "2L+")</f>
        <v>2L+</v>
      </c>
    </row>
    <row r="371" spans="1:11" x14ac:dyDescent="0.3">
      <c r="A371">
        <v>369</v>
      </c>
      <c r="B371">
        <v>7362</v>
      </c>
      <c r="C371">
        <v>49</v>
      </c>
      <c r="D371" s="5" t="str" cm="1">
        <f t="array" ref="D371">_xlfn.IFS(C371&lt;30, "20-29",C371&lt;40, "30-39",C371&lt;50, "40-49",C371&lt;60, "50-59",Table4[[#This Row],[Age]]&gt;=60, "60+"  )</f>
        <v>40-49</v>
      </c>
      <c r="E371" t="s">
        <v>10</v>
      </c>
      <c r="F371" t="b">
        <v>0</v>
      </c>
      <c r="G371" s="1">
        <v>40421</v>
      </c>
      <c r="H371">
        <v>20</v>
      </c>
      <c r="I371" s="5" t="str" cm="1">
        <f t="array" ref="I371">_xlfn.IFS(Table4[[#This Row],[Experience]]&lt;15, "7-15 YEARS",Table4[[#This Row],[Experience]]&lt;23, "15-23  YEARS",Table4[[#This Row],[Experience]]&lt;30, "23-30 YEARS",Table4[[#This Row],[Experience]]&gt;=30, "30+ YEARS")</f>
        <v>15-23  YEARS</v>
      </c>
      <c r="J371">
        <v>156711</v>
      </c>
      <c r="K371" s="5" t="str" cm="1">
        <f t="array" ref="K371">_xlfn.IFS(Table4[[#This Row],[Salary]]&lt;50000, "0-50K",Table4[[#This Row],[Salary]]&lt;100000, "50K-1L",Table4[[#This Row],[Salary]]&lt;150000, "1L-1.5L",Table4[[#This Row],[Salary]]&lt;200000, "1.5-2L",Table4[[#This Row],[Salary]]&gt;=200000, "2L+")</f>
        <v>1.5-2L</v>
      </c>
    </row>
    <row r="372" spans="1:11" x14ac:dyDescent="0.3">
      <c r="A372">
        <v>370</v>
      </c>
      <c r="B372">
        <v>1718</v>
      </c>
      <c r="C372">
        <v>49</v>
      </c>
      <c r="D372" s="5" t="str" cm="1">
        <f t="array" ref="D372">_xlfn.IFS(C372&lt;30, "20-29",C372&lt;40, "30-39",C372&lt;50, "40-49",C372&lt;60, "50-59",Table4[[#This Row],[Age]]&gt;=60, "60+"  )</f>
        <v>40-49</v>
      </c>
      <c r="E372" t="s">
        <v>12</v>
      </c>
      <c r="F372" t="b">
        <v>1</v>
      </c>
      <c r="G372" s="1">
        <v>43379</v>
      </c>
      <c r="H372">
        <v>28</v>
      </c>
      <c r="I372" s="5" t="str" cm="1">
        <f t="array" ref="I372">_xlfn.IFS(Table4[[#This Row],[Experience]]&lt;15, "7-15 YEARS",Table4[[#This Row],[Experience]]&lt;23, "15-23  YEARS",Table4[[#This Row],[Experience]]&lt;30, "23-30 YEARS",Table4[[#This Row],[Experience]]&gt;=30, "30+ YEARS")</f>
        <v>23-30 YEARS</v>
      </c>
      <c r="J372">
        <v>226499</v>
      </c>
      <c r="K372" s="5" t="str" cm="1">
        <f t="array" ref="K372">_xlfn.IFS(Table4[[#This Row],[Salary]]&lt;50000, "0-50K",Table4[[#This Row],[Salary]]&lt;100000, "50K-1L",Table4[[#This Row],[Salary]]&lt;150000, "1L-1.5L",Table4[[#This Row],[Salary]]&lt;200000, "1.5-2L",Table4[[#This Row],[Salary]]&gt;=200000, "2L+")</f>
        <v>2L+</v>
      </c>
    </row>
    <row r="373" spans="1:11" x14ac:dyDescent="0.3">
      <c r="A373">
        <v>371</v>
      </c>
      <c r="B373">
        <v>6548</v>
      </c>
      <c r="C373">
        <v>57</v>
      </c>
      <c r="D373" s="5" t="str" cm="1">
        <f t="array" ref="D373">_xlfn.IFS(C373&lt;30, "20-29",C373&lt;40, "30-39",C373&lt;50, "40-49",C373&lt;60, "50-59",Table4[[#This Row],[Age]]&gt;=60, "60+"  )</f>
        <v>50-59</v>
      </c>
      <c r="E373" t="s">
        <v>12</v>
      </c>
      <c r="F373" t="b">
        <v>0</v>
      </c>
      <c r="G373" s="1">
        <v>38718</v>
      </c>
      <c r="H373">
        <v>27</v>
      </c>
      <c r="I373" s="5" t="str" cm="1">
        <f t="array" ref="I373">_xlfn.IFS(Table4[[#This Row],[Experience]]&lt;15, "7-15 YEARS",Table4[[#This Row],[Experience]]&lt;23, "15-23  YEARS",Table4[[#This Row],[Experience]]&lt;30, "23-30 YEARS",Table4[[#This Row],[Experience]]&gt;=30, "30+ YEARS")</f>
        <v>23-30 YEARS</v>
      </c>
      <c r="J373">
        <v>207647</v>
      </c>
      <c r="K373" s="5" t="str" cm="1">
        <f t="array" ref="K373">_xlfn.IFS(Table4[[#This Row],[Salary]]&lt;50000, "0-50K",Table4[[#This Row],[Salary]]&lt;100000, "50K-1L",Table4[[#This Row],[Salary]]&lt;150000, "1L-1.5L",Table4[[#This Row],[Salary]]&lt;200000, "1.5-2L",Table4[[#This Row],[Salary]]&gt;=200000, "2L+")</f>
        <v>2L+</v>
      </c>
    </row>
    <row r="374" spans="1:11" x14ac:dyDescent="0.3">
      <c r="A374">
        <v>372</v>
      </c>
      <c r="B374">
        <v>6273</v>
      </c>
      <c r="C374">
        <v>37</v>
      </c>
      <c r="D374" s="5" t="str" cm="1">
        <f t="array" ref="D374">_xlfn.IFS(C374&lt;30, "20-29",C374&lt;40, "30-39",C374&lt;50, "40-49",C374&lt;60, "50-59",Table4[[#This Row],[Age]]&gt;=60, "60+"  )</f>
        <v>30-39</v>
      </c>
      <c r="E374" t="s">
        <v>11</v>
      </c>
      <c r="F374" t="b">
        <v>0</v>
      </c>
      <c r="G374" s="1">
        <v>34394</v>
      </c>
      <c r="H374">
        <v>19</v>
      </c>
      <c r="I374" s="5" t="str" cm="1">
        <f t="array" ref="I374">_xlfn.IFS(Table4[[#This Row],[Experience]]&lt;15, "7-15 YEARS",Table4[[#This Row],[Experience]]&lt;23, "15-23  YEARS",Table4[[#This Row],[Experience]]&lt;30, "23-30 YEARS",Table4[[#This Row],[Experience]]&gt;=30, "30+ YEARS")</f>
        <v>15-23  YEARS</v>
      </c>
      <c r="J374">
        <v>150282</v>
      </c>
      <c r="K374" s="5" t="str" cm="1">
        <f t="array" ref="K374">_xlfn.IFS(Table4[[#This Row],[Salary]]&lt;50000, "0-50K",Table4[[#This Row],[Salary]]&lt;100000, "50K-1L",Table4[[#This Row],[Salary]]&lt;150000, "1L-1.5L",Table4[[#This Row],[Salary]]&lt;200000, "1.5-2L",Table4[[#This Row],[Salary]]&gt;=200000, "2L+")</f>
        <v>1.5-2L</v>
      </c>
    </row>
    <row r="375" spans="1:11" x14ac:dyDescent="0.3">
      <c r="A375">
        <v>373</v>
      </c>
      <c r="B375">
        <v>5076</v>
      </c>
      <c r="C375">
        <v>63</v>
      </c>
      <c r="D375" s="5" t="str" cm="1">
        <f t="array" ref="D375">_xlfn.IFS(C375&lt;30, "20-29",C375&lt;40, "30-39",C375&lt;50, "40-49",C375&lt;60, "50-59",Table4[[#This Row],[Age]]&gt;=60, "60+"  )</f>
        <v>60+</v>
      </c>
      <c r="E375" t="s">
        <v>10</v>
      </c>
      <c r="F375" t="b">
        <v>1</v>
      </c>
      <c r="G375" s="1">
        <v>32411</v>
      </c>
      <c r="H375">
        <v>36</v>
      </c>
      <c r="I375" s="5" t="str" cm="1">
        <f t="array" ref="I375">_xlfn.IFS(Table4[[#This Row],[Experience]]&lt;15, "7-15 YEARS",Table4[[#This Row],[Experience]]&lt;23, "15-23  YEARS",Table4[[#This Row],[Experience]]&lt;30, "23-30 YEARS",Table4[[#This Row],[Experience]]&gt;=30, "30+ YEARS")</f>
        <v>30+ YEARS</v>
      </c>
      <c r="J375">
        <v>293410</v>
      </c>
      <c r="K375" s="5" t="str" cm="1">
        <f t="array" ref="K375">_xlfn.IFS(Table4[[#This Row],[Salary]]&lt;50000, "0-50K",Table4[[#This Row],[Salary]]&lt;100000, "50K-1L",Table4[[#This Row],[Salary]]&lt;150000, "1L-1.5L",Table4[[#This Row],[Salary]]&lt;200000, "1.5-2L",Table4[[#This Row],[Salary]]&gt;=200000, "2L+")</f>
        <v>2L+</v>
      </c>
    </row>
    <row r="376" spans="1:11" x14ac:dyDescent="0.3">
      <c r="A376">
        <v>374</v>
      </c>
      <c r="B376">
        <v>6914</v>
      </c>
      <c r="C376">
        <v>23</v>
      </c>
      <c r="D376" s="5" t="str" cm="1">
        <f t="array" ref="D376">_xlfn.IFS(C376&lt;30, "20-29",C376&lt;40, "30-39",C376&lt;50, "40-49",C376&lt;60, "50-59",Table4[[#This Row],[Age]]&gt;=60, "60+"  )</f>
        <v>20-29</v>
      </c>
      <c r="E376" t="s">
        <v>9</v>
      </c>
      <c r="F376" t="b">
        <v>0</v>
      </c>
      <c r="G376" s="1">
        <v>40244</v>
      </c>
      <c r="H376">
        <v>9</v>
      </c>
      <c r="I376" s="5" t="str" cm="1">
        <f t="array" ref="I376">_xlfn.IFS(Table4[[#This Row],[Experience]]&lt;15, "7-15 YEARS",Table4[[#This Row],[Experience]]&lt;23, "15-23  YEARS",Table4[[#This Row],[Experience]]&lt;30, "23-30 YEARS",Table4[[#This Row],[Experience]]&gt;=30, "30+ YEARS")</f>
        <v>7-15 YEARS</v>
      </c>
      <c r="J376">
        <v>66124</v>
      </c>
      <c r="K376" s="5" t="str" cm="1">
        <f t="array" ref="K376">_xlfn.IFS(Table4[[#This Row],[Salary]]&lt;50000, "0-50K",Table4[[#This Row],[Salary]]&lt;100000, "50K-1L",Table4[[#This Row],[Salary]]&lt;150000, "1L-1.5L",Table4[[#This Row],[Salary]]&lt;200000, "1.5-2L",Table4[[#This Row],[Salary]]&gt;=200000, "2L+")</f>
        <v>50K-1L</v>
      </c>
    </row>
    <row r="377" spans="1:11" x14ac:dyDescent="0.3">
      <c r="A377">
        <v>375</v>
      </c>
      <c r="B377">
        <v>1068</v>
      </c>
      <c r="C377">
        <v>47</v>
      </c>
      <c r="D377" s="5" t="str" cm="1">
        <f t="array" ref="D377">_xlfn.IFS(C377&lt;30, "20-29",C377&lt;40, "30-39",C377&lt;50, "40-49",C377&lt;60, "50-59",Table4[[#This Row],[Age]]&gt;=60, "60+"  )</f>
        <v>40-49</v>
      </c>
      <c r="E377" t="s">
        <v>12</v>
      </c>
      <c r="F377" t="b">
        <v>0</v>
      </c>
      <c r="G377" s="1">
        <v>32780</v>
      </c>
      <c r="H377">
        <v>20</v>
      </c>
      <c r="I377" s="5" t="str" cm="1">
        <f t="array" ref="I377">_xlfn.IFS(Table4[[#This Row],[Experience]]&lt;15, "7-15 YEARS",Table4[[#This Row],[Experience]]&lt;23, "15-23  YEARS",Table4[[#This Row],[Experience]]&lt;30, "23-30 YEARS",Table4[[#This Row],[Experience]]&gt;=30, "30+ YEARS")</f>
        <v>15-23  YEARS</v>
      </c>
      <c r="J377">
        <v>162792</v>
      </c>
      <c r="K377" s="5" t="str" cm="1">
        <f t="array" ref="K377">_xlfn.IFS(Table4[[#This Row],[Salary]]&lt;50000, "0-50K",Table4[[#This Row],[Salary]]&lt;100000, "50K-1L",Table4[[#This Row],[Salary]]&lt;150000, "1L-1.5L",Table4[[#This Row],[Salary]]&lt;200000, "1.5-2L",Table4[[#This Row],[Salary]]&gt;=200000, "2L+")</f>
        <v>1.5-2L</v>
      </c>
    </row>
    <row r="378" spans="1:11" x14ac:dyDescent="0.3">
      <c r="A378">
        <v>376</v>
      </c>
      <c r="B378">
        <v>1539</v>
      </c>
      <c r="C378">
        <v>42</v>
      </c>
      <c r="D378" s="5" t="str" cm="1">
        <f t="array" ref="D378">_xlfn.IFS(C378&lt;30, "20-29",C378&lt;40, "30-39",C378&lt;50, "40-49",C378&lt;60, "50-59",Table4[[#This Row],[Age]]&gt;=60, "60+"  )</f>
        <v>40-49</v>
      </c>
      <c r="E378" t="s">
        <v>8</v>
      </c>
      <c r="F378" t="b">
        <v>1</v>
      </c>
      <c r="G378" s="1">
        <v>35990</v>
      </c>
      <c r="H378">
        <v>22</v>
      </c>
      <c r="I378" s="5" t="str" cm="1">
        <f t="array" ref="I378">_xlfn.IFS(Table4[[#This Row],[Experience]]&lt;15, "7-15 YEARS",Table4[[#This Row],[Experience]]&lt;23, "15-23  YEARS",Table4[[#This Row],[Experience]]&lt;30, "23-30 YEARS",Table4[[#This Row],[Experience]]&gt;=30, "30+ YEARS")</f>
        <v>15-23  YEARS</v>
      </c>
      <c r="J378">
        <v>169701</v>
      </c>
      <c r="K378" s="5" t="str" cm="1">
        <f t="array" ref="K378">_xlfn.IFS(Table4[[#This Row],[Salary]]&lt;50000, "0-50K",Table4[[#This Row],[Salary]]&lt;100000, "50K-1L",Table4[[#This Row],[Salary]]&lt;150000, "1L-1.5L",Table4[[#This Row],[Salary]]&lt;200000, "1.5-2L",Table4[[#This Row],[Salary]]&gt;=200000, "2L+")</f>
        <v>1.5-2L</v>
      </c>
    </row>
    <row r="379" spans="1:11" x14ac:dyDescent="0.3">
      <c r="A379">
        <v>377</v>
      </c>
      <c r="B379">
        <v>2565</v>
      </c>
      <c r="C379">
        <v>26</v>
      </c>
      <c r="D379" s="5" t="str" cm="1">
        <f t="array" ref="D379">_xlfn.IFS(C379&lt;30, "20-29",C379&lt;40, "30-39",C379&lt;50, "40-49",C379&lt;60, "50-59",Table4[[#This Row],[Age]]&gt;=60, "60+"  )</f>
        <v>20-29</v>
      </c>
      <c r="E379" t="s">
        <v>8</v>
      </c>
      <c r="F379" t="b">
        <v>0</v>
      </c>
      <c r="G379" s="1">
        <v>34864</v>
      </c>
      <c r="H379">
        <v>12</v>
      </c>
      <c r="I379" s="5" t="str" cm="1">
        <f t="array" ref="I379">_xlfn.IFS(Table4[[#This Row],[Experience]]&lt;15, "7-15 YEARS",Table4[[#This Row],[Experience]]&lt;23, "15-23  YEARS",Table4[[#This Row],[Experience]]&lt;30, "23-30 YEARS",Table4[[#This Row],[Experience]]&gt;=30, "30+ YEARS")</f>
        <v>7-15 YEARS</v>
      </c>
      <c r="J379">
        <v>89021</v>
      </c>
      <c r="K379" s="5" t="str" cm="1">
        <f t="array" ref="K379">_xlfn.IFS(Table4[[#This Row],[Salary]]&lt;50000, "0-50K",Table4[[#This Row],[Salary]]&lt;100000, "50K-1L",Table4[[#This Row],[Salary]]&lt;150000, "1L-1.5L",Table4[[#This Row],[Salary]]&lt;200000, "1.5-2L",Table4[[#This Row],[Salary]]&gt;=200000, "2L+")</f>
        <v>50K-1L</v>
      </c>
    </row>
    <row r="380" spans="1:11" x14ac:dyDescent="0.3">
      <c r="A380">
        <v>378</v>
      </c>
      <c r="B380">
        <v>7334</v>
      </c>
      <c r="C380">
        <v>63</v>
      </c>
      <c r="D380" s="5" t="str" cm="1">
        <f t="array" ref="D380">_xlfn.IFS(C380&lt;30, "20-29",C380&lt;40, "30-39",C380&lt;50, "40-49",C380&lt;60, "50-59",Table4[[#This Row],[Age]]&gt;=60, "60+"  )</f>
        <v>60+</v>
      </c>
      <c r="E380" t="s">
        <v>12</v>
      </c>
      <c r="F380" t="b">
        <v>1</v>
      </c>
      <c r="G380" s="1">
        <v>27914</v>
      </c>
      <c r="H380">
        <v>31</v>
      </c>
      <c r="I380" s="5" t="str" cm="1">
        <f t="array" ref="I380">_xlfn.IFS(Table4[[#This Row],[Experience]]&lt;15, "7-15 YEARS",Table4[[#This Row],[Experience]]&lt;23, "15-23  YEARS",Table4[[#This Row],[Experience]]&lt;30, "23-30 YEARS",Table4[[#This Row],[Experience]]&gt;=30, "30+ YEARS")</f>
        <v>30+ YEARS</v>
      </c>
      <c r="J380">
        <v>253048</v>
      </c>
      <c r="K380" s="5" t="str" cm="1">
        <f t="array" ref="K380">_xlfn.IFS(Table4[[#This Row],[Salary]]&lt;50000, "0-50K",Table4[[#This Row],[Salary]]&lt;100000, "50K-1L",Table4[[#This Row],[Salary]]&lt;150000, "1L-1.5L",Table4[[#This Row],[Salary]]&lt;200000, "1.5-2L",Table4[[#This Row],[Salary]]&gt;=200000, "2L+")</f>
        <v>2L+</v>
      </c>
    </row>
    <row r="381" spans="1:11" x14ac:dyDescent="0.3">
      <c r="A381">
        <v>379</v>
      </c>
      <c r="B381">
        <v>2974</v>
      </c>
      <c r="C381">
        <v>22</v>
      </c>
      <c r="D381" s="5" t="str" cm="1">
        <f t="array" ref="D381">_xlfn.IFS(C381&lt;30, "20-29",C381&lt;40, "30-39",C381&lt;50, "40-49",C381&lt;60, "50-59",Table4[[#This Row],[Age]]&gt;=60, "60+"  )</f>
        <v>20-29</v>
      </c>
      <c r="E381" t="s">
        <v>9</v>
      </c>
      <c r="F381" t="b">
        <v>0</v>
      </c>
      <c r="G381" s="1">
        <v>44011</v>
      </c>
      <c r="H381">
        <v>7</v>
      </c>
      <c r="I381" s="5" t="str" cm="1">
        <f t="array" ref="I381">_xlfn.IFS(Table4[[#This Row],[Experience]]&lt;15, "7-15 YEARS",Table4[[#This Row],[Experience]]&lt;23, "15-23  YEARS",Table4[[#This Row],[Experience]]&lt;30, "23-30 YEARS",Table4[[#This Row],[Experience]]&gt;=30, "30+ YEARS")</f>
        <v>7-15 YEARS</v>
      </c>
      <c r="J381">
        <v>43177</v>
      </c>
      <c r="K381" s="5" t="str" cm="1">
        <f t="array" ref="K381">_xlfn.IFS(Table4[[#This Row],[Salary]]&lt;50000, "0-50K",Table4[[#This Row],[Salary]]&lt;100000, "50K-1L",Table4[[#This Row],[Salary]]&lt;150000, "1L-1.5L",Table4[[#This Row],[Salary]]&lt;200000, "1.5-2L",Table4[[#This Row],[Salary]]&gt;=200000, "2L+")</f>
        <v>0-50K</v>
      </c>
    </row>
    <row r="382" spans="1:11" x14ac:dyDescent="0.3">
      <c r="A382">
        <v>380</v>
      </c>
      <c r="B382">
        <v>2346</v>
      </c>
      <c r="C382">
        <v>36</v>
      </c>
      <c r="D382" s="5" t="str" cm="1">
        <f t="array" ref="D382">_xlfn.IFS(C382&lt;30, "20-29",C382&lt;40, "30-39",C382&lt;50, "40-49",C382&lt;60, "50-59",Table4[[#This Row],[Age]]&gt;=60, "60+"  )</f>
        <v>30-39</v>
      </c>
      <c r="E382" t="s">
        <v>12</v>
      </c>
      <c r="F382" t="b">
        <v>0</v>
      </c>
      <c r="G382" s="1">
        <v>45666</v>
      </c>
      <c r="H382">
        <v>13</v>
      </c>
      <c r="I382" s="5" t="str" cm="1">
        <f t="array" ref="I382">_xlfn.IFS(Table4[[#This Row],[Experience]]&lt;15, "7-15 YEARS",Table4[[#This Row],[Experience]]&lt;23, "15-23  YEARS",Table4[[#This Row],[Experience]]&lt;30, "23-30 YEARS",Table4[[#This Row],[Experience]]&gt;=30, "30+ YEARS")</f>
        <v>7-15 YEARS</v>
      </c>
      <c r="J382">
        <v>103682</v>
      </c>
      <c r="K382" s="5" t="str" cm="1">
        <f t="array" ref="K382">_xlfn.IFS(Table4[[#This Row],[Salary]]&lt;50000, "0-50K",Table4[[#This Row],[Salary]]&lt;100000, "50K-1L",Table4[[#This Row],[Salary]]&lt;150000, "1L-1.5L",Table4[[#This Row],[Salary]]&lt;200000, "1.5-2L",Table4[[#This Row],[Salary]]&gt;=200000, "2L+")</f>
        <v>1L-1.5L</v>
      </c>
    </row>
    <row r="383" spans="1:11" x14ac:dyDescent="0.3">
      <c r="A383">
        <v>381</v>
      </c>
      <c r="B383">
        <v>2800</v>
      </c>
      <c r="C383">
        <v>30</v>
      </c>
      <c r="D383" s="5" t="str" cm="1">
        <f t="array" ref="D383">_xlfn.IFS(C383&lt;30, "20-29",C383&lt;40, "30-39",C383&lt;50, "40-49",C383&lt;60, "50-59",Table4[[#This Row],[Age]]&gt;=60, "60+"  )</f>
        <v>30-39</v>
      </c>
      <c r="E383" t="s">
        <v>12</v>
      </c>
      <c r="F383" t="b">
        <v>0</v>
      </c>
      <c r="G383" s="1">
        <v>37749</v>
      </c>
      <c r="H383">
        <v>16</v>
      </c>
      <c r="I383" s="5" t="str" cm="1">
        <f t="array" ref="I383">_xlfn.IFS(Table4[[#This Row],[Experience]]&lt;15, "7-15 YEARS",Table4[[#This Row],[Experience]]&lt;23, "15-23  YEARS",Table4[[#This Row],[Experience]]&lt;30, "23-30 YEARS",Table4[[#This Row],[Experience]]&gt;=30, "30+ YEARS")</f>
        <v>15-23  YEARS</v>
      </c>
      <c r="J383">
        <v>129947</v>
      </c>
      <c r="K383" s="5" t="str" cm="1">
        <f t="array" ref="K383">_xlfn.IFS(Table4[[#This Row],[Salary]]&lt;50000, "0-50K",Table4[[#This Row],[Salary]]&lt;100000, "50K-1L",Table4[[#This Row],[Salary]]&lt;150000, "1L-1.5L",Table4[[#This Row],[Salary]]&lt;200000, "1.5-2L",Table4[[#This Row],[Salary]]&gt;=200000, "2L+")</f>
        <v>1L-1.5L</v>
      </c>
    </row>
    <row r="384" spans="1:11" x14ac:dyDescent="0.3">
      <c r="A384">
        <v>382</v>
      </c>
      <c r="B384">
        <v>4437</v>
      </c>
      <c r="C384">
        <v>62</v>
      </c>
      <c r="D384" s="5" t="str" cm="1">
        <f t="array" ref="D384">_xlfn.IFS(C384&lt;30, "20-29",C384&lt;40, "30-39",C384&lt;50, "40-49",C384&lt;60, "50-59",Table4[[#This Row],[Age]]&gt;=60, "60+"  )</f>
        <v>60+</v>
      </c>
      <c r="E384" t="s">
        <v>8</v>
      </c>
      <c r="F384" t="b">
        <v>1</v>
      </c>
      <c r="G384" s="1">
        <v>36931</v>
      </c>
      <c r="H384">
        <v>29</v>
      </c>
      <c r="I384" s="5" t="str" cm="1">
        <f t="array" ref="I384">_xlfn.IFS(Table4[[#This Row],[Experience]]&lt;15, "7-15 YEARS",Table4[[#This Row],[Experience]]&lt;23, "15-23  YEARS",Table4[[#This Row],[Experience]]&lt;30, "23-30 YEARS",Table4[[#This Row],[Experience]]&gt;=30, "30+ YEARS")</f>
        <v>23-30 YEARS</v>
      </c>
      <c r="J384">
        <v>227252</v>
      </c>
      <c r="K384" s="5" t="str" cm="1">
        <f t="array" ref="K384">_xlfn.IFS(Table4[[#This Row],[Salary]]&lt;50000, "0-50K",Table4[[#This Row],[Salary]]&lt;100000, "50K-1L",Table4[[#This Row],[Salary]]&lt;150000, "1L-1.5L",Table4[[#This Row],[Salary]]&lt;200000, "1.5-2L",Table4[[#This Row],[Salary]]&gt;=200000, "2L+")</f>
        <v>2L+</v>
      </c>
    </row>
    <row r="385" spans="1:11" x14ac:dyDescent="0.3">
      <c r="A385">
        <v>383</v>
      </c>
      <c r="B385">
        <v>6007</v>
      </c>
      <c r="C385">
        <v>32</v>
      </c>
      <c r="D385" s="5" t="str" cm="1">
        <f t="array" ref="D385">_xlfn.IFS(C385&lt;30, "20-29",C385&lt;40, "30-39",C385&lt;50, "40-49",C385&lt;60, "50-59",Table4[[#This Row],[Age]]&gt;=60, "60+"  )</f>
        <v>30-39</v>
      </c>
      <c r="E385" t="s">
        <v>9</v>
      </c>
      <c r="F385" t="b">
        <v>0</v>
      </c>
      <c r="G385" s="1">
        <v>33037</v>
      </c>
      <c r="H385">
        <v>15</v>
      </c>
      <c r="I385" s="5" t="str" cm="1">
        <f t="array" ref="I385">_xlfn.IFS(Table4[[#This Row],[Experience]]&lt;15, "7-15 YEARS",Table4[[#This Row],[Experience]]&lt;23, "15-23  YEARS",Table4[[#This Row],[Experience]]&lt;30, "23-30 YEARS",Table4[[#This Row],[Experience]]&gt;=30, "30+ YEARS")</f>
        <v>15-23  YEARS</v>
      </c>
      <c r="J385">
        <v>127305</v>
      </c>
      <c r="K385" s="5" t="str" cm="1">
        <f t="array" ref="K385">_xlfn.IFS(Table4[[#This Row],[Salary]]&lt;50000, "0-50K",Table4[[#This Row],[Salary]]&lt;100000, "50K-1L",Table4[[#This Row],[Salary]]&lt;150000, "1L-1.5L",Table4[[#This Row],[Salary]]&lt;200000, "1.5-2L",Table4[[#This Row],[Salary]]&gt;=200000, "2L+")</f>
        <v>1L-1.5L</v>
      </c>
    </row>
    <row r="386" spans="1:11" x14ac:dyDescent="0.3">
      <c r="A386">
        <v>384</v>
      </c>
      <c r="B386">
        <v>2510</v>
      </c>
      <c r="C386">
        <v>51</v>
      </c>
      <c r="D386" s="5" t="str" cm="1">
        <f t="array" ref="D386">_xlfn.IFS(C386&lt;30, "20-29",C386&lt;40, "30-39",C386&lt;50, "40-49",C386&lt;60, "50-59",Table4[[#This Row],[Age]]&gt;=60, "60+"  )</f>
        <v>50-59</v>
      </c>
      <c r="E386" t="s">
        <v>11</v>
      </c>
      <c r="F386" t="b">
        <v>1</v>
      </c>
      <c r="G386" s="1">
        <v>41261</v>
      </c>
      <c r="H386">
        <v>24</v>
      </c>
      <c r="I386" s="5" t="str" cm="1">
        <f t="array" ref="I386">_xlfn.IFS(Table4[[#This Row],[Experience]]&lt;15, "7-15 YEARS",Table4[[#This Row],[Experience]]&lt;23, "15-23  YEARS",Table4[[#This Row],[Experience]]&lt;30, "23-30 YEARS",Table4[[#This Row],[Experience]]&gt;=30, "30+ YEARS")</f>
        <v>23-30 YEARS</v>
      </c>
      <c r="J386">
        <v>184578</v>
      </c>
      <c r="K386" s="5" t="str" cm="1">
        <f t="array" ref="K386">_xlfn.IFS(Table4[[#This Row],[Salary]]&lt;50000, "0-50K",Table4[[#This Row],[Salary]]&lt;100000, "50K-1L",Table4[[#This Row],[Salary]]&lt;150000, "1L-1.5L",Table4[[#This Row],[Salary]]&lt;200000, "1.5-2L",Table4[[#This Row],[Salary]]&gt;=200000, "2L+")</f>
        <v>1.5-2L</v>
      </c>
    </row>
    <row r="387" spans="1:11" x14ac:dyDescent="0.3">
      <c r="A387">
        <v>385</v>
      </c>
      <c r="B387">
        <v>7197</v>
      </c>
      <c r="C387">
        <v>45</v>
      </c>
      <c r="D387" s="5" t="str" cm="1">
        <f t="array" ref="D387">_xlfn.IFS(C387&lt;30, "20-29",C387&lt;40, "30-39",C387&lt;50, "40-49",C387&lt;60, "50-59",Table4[[#This Row],[Age]]&gt;=60, "60+"  )</f>
        <v>40-49</v>
      </c>
      <c r="E387" t="s">
        <v>12</v>
      </c>
      <c r="F387" t="b">
        <v>0</v>
      </c>
      <c r="G387" s="1">
        <v>28672</v>
      </c>
      <c r="H387">
        <v>23</v>
      </c>
      <c r="I387" s="5" t="str" cm="1">
        <f t="array" ref="I387">_xlfn.IFS(Table4[[#This Row],[Experience]]&lt;15, "7-15 YEARS",Table4[[#This Row],[Experience]]&lt;23, "15-23  YEARS",Table4[[#This Row],[Experience]]&lt;30, "23-30 YEARS",Table4[[#This Row],[Experience]]&gt;=30, "30+ YEARS")</f>
        <v>23-30 YEARS</v>
      </c>
      <c r="J387">
        <v>189031</v>
      </c>
      <c r="K387" s="5" t="str" cm="1">
        <f t="array" ref="K387">_xlfn.IFS(Table4[[#This Row],[Salary]]&lt;50000, "0-50K",Table4[[#This Row],[Salary]]&lt;100000, "50K-1L",Table4[[#This Row],[Salary]]&lt;150000, "1L-1.5L",Table4[[#This Row],[Salary]]&lt;200000, "1.5-2L",Table4[[#This Row],[Salary]]&gt;=200000, "2L+")</f>
        <v>1.5-2L</v>
      </c>
    </row>
    <row r="388" spans="1:11" x14ac:dyDescent="0.3">
      <c r="A388">
        <v>386</v>
      </c>
      <c r="B388">
        <v>5262</v>
      </c>
      <c r="C388">
        <v>61</v>
      </c>
      <c r="D388" s="5" t="str" cm="1">
        <f t="array" ref="D388">_xlfn.IFS(C388&lt;30, "20-29",C388&lt;40, "30-39",C388&lt;50, "40-49",C388&lt;60, "50-59",Table4[[#This Row],[Age]]&gt;=60, "60+"  )</f>
        <v>60+</v>
      </c>
      <c r="E388" t="s">
        <v>10</v>
      </c>
      <c r="F388" t="b">
        <v>0</v>
      </c>
      <c r="G388" s="1">
        <v>43973</v>
      </c>
      <c r="H388">
        <v>30</v>
      </c>
      <c r="I388" s="5" t="str" cm="1">
        <f t="array" ref="I388">_xlfn.IFS(Table4[[#This Row],[Experience]]&lt;15, "7-15 YEARS",Table4[[#This Row],[Experience]]&lt;23, "15-23  YEARS",Table4[[#This Row],[Experience]]&lt;30, "23-30 YEARS",Table4[[#This Row],[Experience]]&gt;=30, "30+ YEARS")</f>
        <v>30+ YEARS</v>
      </c>
      <c r="J388">
        <v>242312</v>
      </c>
      <c r="K388" s="5" t="str" cm="1">
        <f t="array" ref="K388">_xlfn.IFS(Table4[[#This Row],[Salary]]&lt;50000, "0-50K",Table4[[#This Row],[Salary]]&lt;100000, "50K-1L",Table4[[#This Row],[Salary]]&lt;150000, "1L-1.5L",Table4[[#This Row],[Salary]]&lt;200000, "1.5-2L",Table4[[#This Row],[Salary]]&gt;=200000, "2L+")</f>
        <v>2L+</v>
      </c>
    </row>
    <row r="389" spans="1:11" x14ac:dyDescent="0.3">
      <c r="A389">
        <v>387</v>
      </c>
      <c r="B389">
        <v>4315</v>
      </c>
      <c r="C389">
        <v>47</v>
      </c>
      <c r="D389" s="5" t="str" cm="1">
        <f t="array" ref="D389">_xlfn.IFS(C389&lt;30, "20-29",C389&lt;40, "30-39",C389&lt;50, "40-49",C389&lt;60, "50-59",Table4[[#This Row],[Age]]&gt;=60, "60+"  )</f>
        <v>40-49</v>
      </c>
      <c r="E389" t="s">
        <v>9</v>
      </c>
      <c r="F389" t="b">
        <v>0</v>
      </c>
      <c r="G389" s="1">
        <v>36673</v>
      </c>
      <c r="H389">
        <v>24</v>
      </c>
      <c r="I389" s="5" t="str" cm="1">
        <f t="array" ref="I389">_xlfn.IFS(Table4[[#This Row],[Experience]]&lt;15, "7-15 YEARS",Table4[[#This Row],[Experience]]&lt;23, "15-23  YEARS",Table4[[#This Row],[Experience]]&lt;30, "23-30 YEARS",Table4[[#This Row],[Experience]]&gt;=30, "30+ YEARS")</f>
        <v>23-30 YEARS</v>
      </c>
      <c r="J389">
        <v>199412</v>
      </c>
      <c r="K389" s="5" t="str" cm="1">
        <f t="array" ref="K389">_xlfn.IFS(Table4[[#This Row],[Salary]]&lt;50000, "0-50K",Table4[[#This Row],[Salary]]&lt;100000, "50K-1L",Table4[[#This Row],[Salary]]&lt;150000, "1L-1.5L",Table4[[#This Row],[Salary]]&lt;200000, "1.5-2L",Table4[[#This Row],[Salary]]&gt;=200000, "2L+")</f>
        <v>1.5-2L</v>
      </c>
    </row>
    <row r="390" spans="1:11" x14ac:dyDescent="0.3">
      <c r="A390">
        <v>388</v>
      </c>
      <c r="B390">
        <v>8268</v>
      </c>
      <c r="C390">
        <v>42</v>
      </c>
      <c r="D390" s="5" t="str" cm="1">
        <f t="array" ref="D390">_xlfn.IFS(C390&lt;30, "20-29",C390&lt;40, "30-39",C390&lt;50, "40-49",C390&lt;60, "50-59",Table4[[#This Row],[Age]]&gt;=60, "60+"  )</f>
        <v>40-49</v>
      </c>
      <c r="E390" t="s">
        <v>10</v>
      </c>
      <c r="F390" t="b">
        <v>0</v>
      </c>
      <c r="G390" s="1">
        <v>33564</v>
      </c>
      <c r="H390">
        <v>22</v>
      </c>
      <c r="I390" s="5" t="str" cm="1">
        <f t="array" ref="I390">_xlfn.IFS(Table4[[#This Row],[Experience]]&lt;15, "7-15 YEARS",Table4[[#This Row],[Experience]]&lt;23, "15-23  YEARS",Table4[[#This Row],[Experience]]&lt;30, "23-30 YEARS",Table4[[#This Row],[Experience]]&gt;=30, "30+ YEARS")</f>
        <v>15-23  YEARS</v>
      </c>
      <c r="J390">
        <v>181466</v>
      </c>
      <c r="K390" s="5" t="str" cm="1">
        <f t="array" ref="K390">_xlfn.IFS(Table4[[#This Row],[Salary]]&lt;50000, "0-50K",Table4[[#This Row],[Salary]]&lt;100000, "50K-1L",Table4[[#This Row],[Salary]]&lt;150000, "1L-1.5L",Table4[[#This Row],[Salary]]&lt;200000, "1.5-2L",Table4[[#This Row],[Salary]]&gt;=200000, "2L+")</f>
        <v>1.5-2L</v>
      </c>
    </row>
    <row r="391" spans="1:11" x14ac:dyDescent="0.3">
      <c r="A391">
        <v>389</v>
      </c>
      <c r="B391">
        <v>6197</v>
      </c>
      <c r="C391">
        <v>61</v>
      </c>
      <c r="D391" s="5" t="str" cm="1">
        <f t="array" ref="D391">_xlfn.IFS(C391&lt;30, "20-29",C391&lt;40, "30-39",C391&lt;50, "40-49",C391&lt;60, "50-59",Table4[[#This Row],[Age]]&gt;=60, "60+"  )</f>
        <v>60+</v>
      </c>
      <c r="E391" t="s">
        <v>11</v>
      </c>
      <c r="F391" t="b">
        <v>0</v>
      </c>
      <c r="G391" s="1">
        <v>29301</v>
      </c>
      <c r="H391">
        <v>32</v>
      </c>
      <c r="I391" s="5" t="str" cm="1">
        <f t="array" ref="I391">_xlfn.IFS(Table4[[#This Row],[Experience]]&lt;15, "7-15 YEARS",Table4[[#This Row],[Experience]]&lt;23, "15-23  YEARS",Table4[[#This Row],[Experience]]&lt;30, "23-30 YEARS",Table4[[#This Row],[Experience]]&gt;=30, "30+ YEARS")</f>
        <v>30+ YEARS</v>
      </c>
      <c r="J391">
        <v>249787</v>
      </c>
      <c r="K391" s="5" t="str" cm="1">
        <f t="array" ref="K391">_xlfn.IFS(Table4[[#This Row],[Salary]]&lt;50000, "0-50K",Table4[[#This Row],[Salary]]&lt;100000, "50K-1L",Table4[[#This Row],[Salary]]&lt;150000, "1L-1.5L",Table4[[#This Row],[Salary]]&lt;200000, "1.5-2L",Table4[[#This Row],[Salary]]&gt;=200000, "2L+")</f>
        <v>2L+</v>
      </c>
    </row>
    <row r="392" spans="1:11" x14ac:dyDescent="0.3">
      <c r="A392">
        <v>390</v>
      </c>
      <c r="B392">
        <v>6190</v>
      </c>
      <c r="C392">
        <v>23</v>
      </c>
      <c r="D392" s="5" t="str" cm="1">
        <f t="array" ref="D392">_xlfn.IFS(C392&lt;30, "20-29",C392&lt;40, "30-39",C392&lt;50, "40-49",C392&lt;60, "50-59",Table4[[#This Row],[Age]]&gt;=60, "60+"  )</f>
        <v>20-29</v>
      </c>
      <c r="E392" t="s">
        <v>12</v>
      </c>
      <c r="F392" t="b">
        <v>1</v>
      </c>
      <c r="G392" s="1">
        <v>42506</v>
      </c>
      <c r="H392">
        <v>10</v>
      </c>
      <c r="I392" s="5" t="str" cm="1">
        <f t="array" ref="I392">_xlfn.IFS(Table4[[#This Row],[Experience]]&lt;15, "7-15 YEARS",Table4[[#This Row],[Experience]]&lt;23, "15-23  YEARS",Table4[[#This Row],[Experience]]&lt;30, "23-30 YEARS",Table4[[#This Row],[Experience]]&gt;=30, "30+ YEARS")</f>
        <v>7-15 YEARS</v>
      </c>
      <c r="J392">
        <v>75579</v>
      </c>
      <c r="K392" s="5" t="str" cm="1">
        <f t="array" ref="K392">_xlfn.IFS(Table4[[#This Row],[Salary]]&lt;50000, "0-50K",Table4[[#This Row],[Salary]]&lt;100000, "50K-1L",Table4[[#This Row],[Salary]]&lt;150000, "1L-1.5L",Table4[[#This Row],[Salary]]&lt;200000, "1.5-2L",Table4[[#This Row],[Salary]]&gt;=200000, "2L+")</f>
        <v>50K-1L</v>
      </c>
    </row>
    <row r="393" spans="1:11" x14ac:dyDescent="0.3">
      <c r="A393">
        <v>391</v>
      </c>
      <c r="B393">
        <v>8585</v>
      </c>
      <c r="C393">
        <v>33</v>
      </c>
      <c r="D393" s="5" t="str" cm="1">
        <f t="array" ref="D393">_xlfn.IFS(C393&lt;30, "20-29",C393&lt;40, "30-39",C393&lt;50, "40-49",C393&lt;60, "50-59",Table4[[#This Row],[Age]]&gt;=60, "60+"  )</f>
        <v>30-39</v>
      </c>
      <c r="E393" t="s">
        <v>9</v>
      </c>
      <c r="F393" t="b">
        <v>0</v>
      </c>
      <c r="G393" s="1">
        <v>42298</v>
      </c>
      <c r="H393">
        <v>14</v>
      </c>
      <c r="I393" s="5" t="str" cm="1">
        <f t="array" ref="I393">_xlfn.IFS(Table4[[#This Row],[Experience]]&lt;15, "7-15 YEARS",Table4[[#This Row],[Experience]]&lt;23, "15-23  YEARS",Table4[[#This Row],[Experience]]&lt;30, "23-30 YEARS",Table4[[#This Row],[Experience]]&gt;=30, "30+ YEARS")</f>
        <v>7-15 YEARS</v>
      </c>
      <c r="J393">
        <v>110956</v>
      </c>
      <c r="K393" s="5" t="str" cm="1">
        <f t="array" ref="K393">_xlfn.IFS(Table4[[#This Row],[Salary]]&lt;50000, "0-50K",Table4[[#This Row],[Salary]]&lt;100000, "50K-1L",Table4[[#This Row],[Salary]]&lt;150000, "1L-1.5L",Table4[[#This Row],[Salary]]&lt;200000, "1.5-2L",Table4[[#This Row],[Salary]]&gt;=200000, "2L+")</f>
        <v>1L-1.5L</v>
      </c>
    </row>
    <row r="394" spans="1:11" x14ac:dyDescent="0.3">
      <c r="A394">
        <v>392</v>
      </c>
      <c r="B394">
        <v>4689</v>
      </c>
      <c r="C394">
        <v>52</v>
      </c>
      <c r="D394" s="5" t="str" cm="1">
        <f t="array" ref="D394">_xlfn.IFS(C394&lt;30, "20-29",C394&lt;40, "30-39",C394&lt;50, "40-49",C394&lt;60, "50-59",Table4[[#This Row],[Age]]&gt;=60, "60+"  )</f>
        <v>50-59</v>
      </c>
      <c r="E394" t="s">
        <v>10</v>
      </c>
      <c r="F394" t="b">
        <v>0</v>
      </c>
      <c r="G394" s="1">
        <v>41755</v>
      </c>
      <c r="H394">
        <v>25</v>
      </c>
      <c r="I394" s="5" t="str" cm="1">
        <f t="array" ref="I394">_xlfn.IFS(Table4[[#This Row],[Experience]]&lt;15, "7-15 YEARS",Table4[[#This Row],[Experience]]&lt;23, "15-23  YEARS",Table4[[#This Row],[Experience]]&lt;30, "23-30 YEARS",Table4[[#This Row],[Experience]]&gt;=30, "30+ YEARS")</f>
        <v>23-30 YEARS</v>
      </c>
      <c r="J394">
        <v>205417</v>
      </c>
      <c r="K394" s="5" t="str" cm="1">
        <f t="array" ref="K394">_xlfn.IFS(Table4[[#This Row],[Salary]]&lt;50000, "0-50K",Table4[[#This Row],[Salary]]&lt;100000, "50K-1L",Table4[[#This Row],[Salary]]&lt;150000, "1L-1.5L",Table4[[#This Row],[Salary]]&lt;200000, "1.5-2L",Table4[[#This Row],[Salary]]&gt;=200000, "2L+")</f>
        <v>2L+</v>
      </c>
    </row>
    <row r="395" spans="1:11" x14ac:dyDescent="0.3">
      <c r="A395">
        <v>393</v>
      </c>
      <c r="B395">
        <v>9048</v>
      </c>
      <c r="C395">
        <v>44</v>
      </c>
      <c r="D395" s="5" t="str" cm="1">
        <f t="array" ref="D395">_xlfn.IFS(C395&lt;30, "20-29",C395&lt;40, "30-39",C395&lt;50, "40-49",C395&lt;60, "50-59",Table4[[#This Row],[Age]]&gt;=60, "60+"  )</f>
        <v>40-49</v>
      </c>
      <c r="E395" t="s">
        <v>8</v>
      </c>
      <c r="F395" t="b">
        <v>0</v>
      </c>
      <c r="G395" s="1">
        <v>28352</v>
      </c>
      <c r="H395">
        <v>25</v>
      </c>
      <c r="I395" s="5" t="str" cm="1">
        <f t="array" ref="I395">_xlfn.IFS(Table4[[#This Row],[Experience]]&lt;15, "7-15 YEARS",Table4[[#This Row],[Experience]]&lt;23, "15-23  YEARS",Table4[[#This Row],[Experience]]&lt;30, "23-30 YEARS",Table4[[#This Row],[Experience]]&gt;=30, "30+ YEARS")</f>
        <v>23-30 YEARS</v>
      </c>
      <c r="J395">
        <v>196804</v>
      </c>
      <c r="K395" s="5" t="str" cm="1">
        <f t="array" ref="K395">_xlfn.IFS(Table4[[#This Row],[Salary]]&lt;50000, "0-50K",Table4[[#This Row],[Salary]]&lt;100000, "50K-1L",Table4[[#This Row],[Salary]]&lt;150000, "1L-1.5L",Table4[[#This Row],[Salary]]&lt;200000, "1.5-2L",Table4[[#This Row],[Salary]]&gt;=200000, "2L+")</f>
        <v>1.5-2L</v>
      </c>
    </row>
    <row r="396" spans="1:11" x14ac:dyDescent="0.3">
      <c r="A396">
        <v>394</v>
      </c>
      <c r="B396">
        <v>7445</v>
      </c>
      <c r="C396">
        <v>46</v>
      </c>
      <c r="D396" s="5" t="str" cm="1">
        <f t="array" ref="D396">_xlfn.IFS(C396&lt;30, "20-29",C396&lt;40, "30-39",C396&lt;50, "40-49",C396&lt;60, "50-59",Table4[[#This Row],[Age]]&gt;=60, "60+"  )</f>
        <v>40-49</v>
      </c>
      <c r="E396" t="s">
        <v>12</v>
      </c>
      <c r="F396" t="b">
        <v>0</v>
      </c>
      <c r="G396" s="1">
        <v>30445</v>
      </c>
      <c r="H396">
        <v>21</v>
      </c>
      <c r="I396" s="5" t="str" cm="1">
        <f t="array" ref="I396">_xlfn.IFS(Table4[[#This Row],[Experience]]&lt;15, "7-15 YEARS",Table4[[#This Row],[Experience]]&lt;23, "15-23  YEARS",Table4[[#This Row],[Experience]]&lt;30, "23-30 YEARS",Table4[[#This Row],[Experience]]&gt;=30, "30+ YEARS")</f>
        <v>15-23  YEARS</v>
      </c>
      <c r="J396">
        <v>171101</v>
      </c>
      <c r="K396" s="5" t="str" cm="1">
        <f t="array" ref="K396">_xlfn.IFS(Table4[[#This Row],[Salary]]&lt;50000, "0-50K",Table4[[#This Row],[Salary]]&lt;100000, "50K-1L",Table4[[#This Row],[Salary]]&lt;150000, "1L-1.5L",Table4[[#This Row],[Salary]]&lt;200000, "1.5-2L",Table4[[#This Row],[Salary]]&gt;=200000, "2L+")</f>
        <v>1.5-2L</v>
      </c>
    </row>
    <row r="397" spans="1:11" x14ac:dyDescent="0.3">
      <c r="A397">
        <v>395</v>
      </c>
      <c r="B397">
        <v>2129</v>
      </c>
      <c r="C397">
        <v>27</v>
      </c>
      <c r="D397" s="5" t="str" cm="1">
        <f t="array" ref="D397">_xlfn.IFS(C397&lt;30, "20-29",C397&lt;40, "30-39",C397&lt;50, "40-49",C397&lt;60, "50-59",Table4[[#This Row],[Age]]&gt;=60, "60+"  )</f>
        <v>20-29</v>
      </c>
      <c r="E397" t="s">
        <v>12</v>
      </c>
      <c r="F397" t="b">
        <v>0</v>
      </c>
      <c r="G397" s="1">
        <v>32230</v>
      </c>
      <c r="H397">
        <v>12</v>
      </c>
      <c r="I397" s="5" t="str" cm="1">
        <f t="array" ref="I397">_xlfn.IFS(Table4[[#This Row],[Experience]]&lt;15, "7-15 YEARS",Table4[[#This Row],[Experience]]&lt;23, "15-23  YEARS",Table4[[#This Row],[Experience]]&lt;30, "23-30 YEARS",Table4[[#This Row],[Experience]]&gt;=30, "30+ YEARS")</f>
        <v>7-15 YEARS</v>
      </c>
      <c r="J397">
        <v>103203</v>
      </c>
      <c r="K397" s="5" t="str" cm="1">
        <f t="array" ref="K397">_xlfn.IFS(Table4[[#This Row],[Salary]]&lt;50000, "0-50K",Table4[[#This Row],[Salary]]&lt;100000, "50K-1L",Table4[[#This Row],[Salary]]&lt;150000, "1L-1.5L",Table4[[#This Row],[Salary]]&lt;200000, "1.5-2L",Table4[[#This Row],[Salary]]&gt;=200000, "2L+")</f>
        <v>1L-1.5L</v>
      </c>
    </row>
    <row r="398" spans="1:11" x14ac:dyDescent="0.3">
      <c r="A398">
        <v>396</v>
      </c>
      <c r="B398">
        <v>2973</v>
      </c>
      <c r="C398">
        <v>26</v>
      </c>
      <c r="D398" s="5" t="str" cm="1">
        <f t="array" ref="D398">_xlfn.IFS(C398&lt;30, "20-29",C398&lt;40, "30-39",C398&lt;50, "40-49",C398&lt;60, "50-59",Table4[[#This Row],[Age]]&gt;=60, "60+"  )</f>
        <v>20-29</v>
      </c>
      <c r="E398" t="s">
        <v>8</v>
      </c>
      <c r="F398" t="b">
        <v>1</v>
      </c>
      <c r="G398" s="1">
        <v>26992</v>
      </c>
      <c r="H398">
        <v>15</v>
      </c>
      <c r="I398" s="5" t="str" cm="1">
        <f t="array" ref="I398">_xlfn.IFS(Table4[[#This Row],[Experience]]&lt;15, "7-15 YEARS",Table4[[#This Row],[Experience]]&lt;23, "15-23  YEARS",Table4[[#This Row],[Experience]]&lt;30, "23-30 YEARS",Table4[[#This Row],[Experience]]&gt;=30, "30+ YEARS")</f>
        <v>15-23  YEARS</v>
      </c>
      <c r="J398">
        <v>120056</v>
      </c>
      <c r="K398" s="5" t="str" cm="1">
        <f t="array" ref="K398">_xlfn.IFS(Table4[[#This Row],[Salary]]&lt;50000, "0-50K",Table4[[#This Row],[Salary]]&lt;100000, "50K-1L",Table4[[#This Row],[Salary]]&lt;150000, "1L-1.5L",Table4[[#This Row],[Salary]]&lt;200000, "1.5-2L",Table4[[#This Row],[Salary]]&gt;=200000, "2L+")</f>
        <v>1L-1.5L</v>
      </c>
    </row>
    <row r="399" spans="1:11" x14ac:dyDescent="0.3">
      <c r="A399">
        <v>397</v>
      </c>
      <c r="B399">
        <v>5722</v>
      </c>
      <c r="C399">
        <v>30</v>
      </c>
      <c r="D399" s="5" t="str" cm="1">
        <f t="array" ref="D399">_xlfn.IFS(C399&lt;30, "20-29",C399&lt;40, "30-39",C399&lt;50, "40-49",C399&lt;60, "50-59",Table4[[#This Row],[Age]]&gt;=60, "60+"  )</f>
        <v>30-39</v>
      </c>
      <c r="E399" t="s">
        <v>9</v>
      </c>
      <c r="F399" t="b">
        <v>1</v>
      </c>
      <c r="G399" s="1">
        <v>43206</v>
      </c>
      <c r="H399">
        <v>16</v>
      </c>
      <c r="I399" s="5" t="str" cm="1">
        <f t="array" ref="I399">_xlfn.IFS(Table4[[#This Row],[Experience]]&lt;15, "7-15 YEARS",Table4[[#This Row],[Experience]]&lt;23, "15-23  YEARS",Table4[[#This Row],[Experience]]&lt;30, "23-30 YEARS",Table4[[#This Row],[Experience]]&gt;=30, "30+ YEARS")</f>
        <v>15-23  YEARS</v>
      </c>
      <c r="J399">
        <v>136030</v>
      </c>
      <c r="K399" s="5" t="str" cm="1">
        <f t="array" ref="K399">_xlfn.IFS(Table4[[#This Row],[Salary]]&lt;50000, "0-50K",Table4[[#This Row],[Salary]]&lt;100000, "50K-1L",Table4[[#This Row],[Salary]]&lt;150000, "1L-1.5L",Table4[[#This Row],[Salary]]&lt;200000, "1.5-2L",Table4[[#This Row],[Salary]]&gt;=200000, "2L+")</f>
        <v>1L-1.5L</v>
      </c>
    </row>
    <row r="400" spans="1:11" x14ac:dyDescent="0.3">
      <c r="A400">
        <v>398</v>
      </c>
      <c r="B400">
        <v>4334</v>
      </c>
      <c r="C400">
        <v>58</v>
      </c>
      <c r="D400" s="5" t="str" cm="1">
        <f t="array" ref="D400">_xlfn.IFS(C400&lt;30, "20-29",C400&lt;40, "30-39",C400&lt;50, "40-49",C400&lt;60, "50-59",Table4[[#This Row],[Age]]&gt;=60, "60+"  )</f>
        <v>50-59</v>
      </c>
      <c r="E400" t="s">
        <v>12</v>
      </c>
      <c r="F400" t="b">
        <v>0</v>
      </c>
      <c r="G400" s="1">
        <v>42970</v>
      </c>
      <c r="H400">
        <v>28</v>
      </c>
      <c r="I400" s="5" t="str" cm="1">
        <f t="array" ref="I400">_xlfn.IFS(Table4[[#This Row],[Experience]]&lt;15, "7-15 YEARS",Table4[[#This Row],[Experience]]&lt;23, "15-23  YEARS",Table4[[#This Row],[Experience]]&lt;30, "23-30 YEARS",Table4[[#This Row],[Experience]]&gt;=30, "30+ YEARS")</f>
        <v>23-30 YEARS</v>
      </c>
      <c r="J400">
        <v>225695</v>
      </c>
      <c r="K400" s="5" t="str" cm="1">
        <f t="array" ref="K400">_xlfn.IFS(Table4[[#This Row],[Salary]]&lt;50000, "0-50K",Table4[[#This Row],[Salary]]&lt;100000, "50K-1L",Table4[[#This Row],[Salary]]&lt;150000, "1L-1.5L",Table4[[#This Row],[Salary]]&lt;200000, "1.5-2L",Table4[[#This Row],[Salary]]&gt;=200000, "2L+")</f>
        <v>2L+</v>
      </c>
    </row>
    <row r="401" spans="1:11" x14ac:dyDescent="0.3">
      <c r="A401">
        <v>399</v>
      </c>
      <c r="B401">
        <v>3900</v>
      </c>
      <c r="C401">
        <v>44</v>
      </c>
      <c r="D401" s="5" t="str" cm="1">
        <f t="array" ref="D401">_xlfn.IFS(C401&lt;30, "20-29",C401&lt;40, "30-39",C401&lt;50, "40-49",C401&lt;60, "50-59",Table4[[#This Row],[Age]]&gt;=60, "60+"  )</f>
        <v>40-49</v>
      </c>
      <c r="E401" t="s">
        <v>12</v>
      </c>
      <c r="F401" t="b">
        <v>1</v>
      </c>
      <c r="G401" s="1">
        <v>31801</v>
      </c>
      <c r="H401">
        <v>18</v>
      </c>
      <c r="I401" s="5" t="str" cm="1">
        <f t="array" ref="I401">_xlfn.IFS(Table4[[#This Row],[Experience]]&lt;15, "7-15 YEARS",Table4[[#This Row],[Experience]]&lt;23, "15-23  YEARS",Table4[[#This Row],[Experience]]&lt;30, "23-30 YEARS",Table4[[#This Row],[Experience]]&gt;=30, "30+ YEARS")</f>
        <v>15-23  YEARS</v>
      </c>
      <c r="J401">
        <v>140411</v>
      </c>
      <c r="K401" s="5" t="str" cm="1">
        <f t="array" ref="K401">_xlfn.IFS(Table4[[#This Row],[Salary]]&lt;50000, "0-50K",Table4[[#This Row],[Salary]]&lt;100000, "50K-1L",Table4[[#This Row],[Salary]]&lt;150000, "1L-1.5L",Table4[[#This Row],[Salary]]&lt;200000, "1.5-2L",Table4[[#This Row],[Salary]]&gt;=200000, "2L+")</f>
        <v>1L-1.5L</v>
      </c>
    </row>
    <row r="402" spans="1:11" x14ac:dyDescent="0.3">
      <c r="A402">
        <v>400</v>
      </c>
      <c r="B402">
        <v>9317</v>
      </c>
      <c r="C402">
        <v>45</v>
      </c>
      <c r="D402" s="5" t="str" cm="1">
        <f t="array" ref="D402">_xlfn.IFS(C402&lt;30, "20-29",C402&lt;40, "30-39",C402&lt;50, "40-49",C402&lt;60, "50-59",Table4[[#This Row],[Age]]&gt;=60, "60+"  )</f>
        <v>40-49</v>
      </c>
      <c r="E402" t="s">
        <v>8</v>
      </c>
      <c r="F402" t="b">
        <v>1</v>
      </c>
      <c r="G402" s="1">
        <v>43081</v>
      </c>
      <c r="H402">
        <v>21</v>
      </c>
      <c r="I402" s="5" t="str" cm="1">
        <f t="array" ref="I402">_xlfn.IFS(Table4[[#This Row],[Experience]]&lt;15, "7-15 YEARS",Table4[[#This Row],[Experience]]&lt;23, "15-23  YEARS",Table4[[#This Row],[Experience]]&lt;30, "23-30 YEARS",Table4[[#This Row],[Experience]]&gt;=30, "30+ YEARS")</f>
        <v>15-23  YEARS</v>
      </c>
      <c r="J402">
        <v>169472</v>
      </c>
      <c r="K402" s="5" t="str" cm="1">
        <f t="array" ref="K402">_xlfn.IFS(Table4[[#This Row],[Salary]]&lt;50000, "0-50K",Table4[[#This Row],[Salary]]&lt;100000, "50K-1L",Table4[[#This Row],[Salary]]&lt;150000, "1L-1.5L",Table4[[#This Row],[Salary]]&lt;200000, "1.5-2L",Table4[[#This Row],[Salary]]&gt;=200000, "2L+")</f>
        <v>1.5-2L</v>
      </c>
    </row>
    <row r="403" spans="1:11" x14ac:dyDescent="0.3">
      <c r="A403">
        <v>401</v>
      </c>
      <c r="B403">
        <v>7802</v>
      </c>
      <c r="C403">
        <v>23</v>
      </c>
      <c r="D403" s="5" t="str" cm="1">
        <f t="array" ref="D403">_xlfn.IFS(C403&lt;30, "20-29",C403&lt;40, "30-39",C403&lt;50, "40-49",C403&lt;60, "50-59",Table4[[#This Row],[Age]]&gt;=60, "60+"  )</f>
        <v>20-29</v>
      </c>
      <c r="E403" t="s">
        <v>8</v>
      </c>
      <c r="F403" t="b">
        <v>0</v>
      </c>
      <c r="G403" s="1">
        <v>37831</v>
      </c>
      <c r="H403">
        <v>12</v>
      </c>
      <c r="I403" s="5" t="str" cm="1">
        <f t="array" ref="I403">_xlfn.IFS(Table4[[#This Row],[Experience]]&lt;15, "7-15 YEARS",Table4[[#This Row],[Experience]]&lt;23, "15-23  YEARS",Table4[[#This Row],[Experience]]&lt;30, "23-30 YEARS",Table4[[#This Row],[Experience]]&gt;=30, "30+ YEARS")</f>
        <v>7-15 YEARS</v>
      </c>
      <c r="J403">
        <v>94602</v>
      </c>
      <c r="K403" s="5" t="str" cm="1">
        <f t="array" ref="K403">_xlfn.IFS(Table4[[#This Row],[Salary]]&lt;50000, "0-50K",Table4[[#This Row],[Salary]]&lt;100000, "50K-1L",Table4[[#This Row],[Salary]]&lt;150000, "1L-1.5L",Table4[[#This Row],[Salary]]&lt;200000, "1.5-2L",Table4[[#This Row],[Salary]]&gt;=200000, "2L+")</f>
        <v>50K-1L</v>
      </c>
    </row>
    <row r="404" spans="1:11" x14ac:dyDescent="0.3">
      <c r="A404">
        <v>402</v>
      </c>
      <c r="B404">
        <v>3189</v>
      </c>
      <c r="C404">
        <v>43</v>
      </c>
      <c r="D404" s="5" t="str" cm="1">
        <f t="array" ref="D404">_xlfn.IFS(C404&lt;30, "20-29",C404&lt;40, "30-39",C404&lt;50, "40-49",C404&lt;60, "50-59",Table4[[#This Row],[Age]]&gt;=60, "60+"  )</f>
        <v>40-49</v>
      </c>
      <c r="E404" t="s">
        <v>8</v>
      </c>
      <c r="F404" t="b">
        <v>1</v>
      </c>
      <c r="G404" s="1">
        <v>31012</v>
      </c>
      <c r="H404">
        <v>22</v>
      </c>
      <c r="I404" s="5" t="str" cm="1">
        <f t="array" ref="I404">_xlfn.IFS(Table4[[#This Row],[Experience]]&lt;15, "7-15 YEARS",Table4[[#This Row],[Experience]]&lt;23, "15-23  YEARS",Table4[[#This Row],[Experience]]&lt;30, "23-30 YEARS",Table4[[#This Row],[Experience]]&gt;=30, "30+ YEARS")</f>
        <v>15-23  YEARS</v>
      </c>
      <c r="J404">
        <v>176423</v>
      </c>
      <c r="K404" s="5" t="str" cm="1">
        <f t="array" ref="K404">_xlfn.IFS(Table4[[#This Row],[Salary]]&lt;50000, "0-50K",Table4[[#This Row],[Salary]]&lt;100000, "50K-1L",Table4[[#This Row],[Salary]]&lt;150000, "1L-1.5L",Table4[[#This Row],[Salary]]&lt;200000, "1.5-2L",Table4[[#This Row],[Salary]]&gt;=200000, "2L+")</f>
        <v>1.5-2L</v>
      </c>
    </row>
    <row r="405" spans="1:11" x14ac:dyDescent="0.3">
      <c r="A405">
        <v>403</v>
      </c>
      <c r="B405">
        <v>2803</v>
      </c>
      <c r="C405">
        <v>41</v>
      </c>
      <c r="D405" s="5" t="str" cm="1">
        <f t="array" ref="D405">_xlfn.IFS(C405&lt;30, "20-29",C405&lt;40, "30-39",C405&lt;50, "40-49",C405&lt;60, "50-59",Table4[[#This Row],[Age]]&gt;=60, "60+"  )</f>
        <v>40-49</v>
      </c>
      <c r="E405" t="s">
        <v>8</v>
      </c>
      <c r="F405" t="b">
        <v>1</v>
      </c>
      <c r="G405" s="1">
        <v>28112</v>
      </c>
      <c r="H405">
        <v>20</v>
      </c>
      <c r="I405" s="5" t="str" cm="1">
        <f t="array" ref="I405">_xlfn.IFS(Table4[[#This Row],[Experience]]&lt;15, "7-15 YEARS",Table4[[#This Row],[Experience]]&lt;23, "15-23  YEARS",Table4[[#This Row],[Experience]]&lt;30, "23-30 YEARS",Table4[[#This Row],[Experience]]&gt;=30, "30+ YEARS")</f>
        <v>15-23  YEARS</v>
      </c>
      <c r="J405">
        <v>173046</v>
      </c>
      <c r="K405" s="5" t="str" cm="1">
        <f t="array" ref="K405">_xlfn.IFS(Table4[[#This Row],[Salary]]&lt;50000, "0-50K",Table4[[#This Row],[Salary]]&lt;100000, "50K-1L",Table4[[#This Row],[Salary]]&lt;150000, "1L-1.5L",Table4[[#This Row],[Salary]]&lt;200000, "1.5-2L",Table4[[#This Row],[Salary]]&gt;=200000, "2L+")</f>
        <v>1.5-2L</v>
      </c>
    </row>
    <row r="406" spans="1:11" x14ac:dyDescent="0.3">
      <c r="A406">
        <v>404</v>
      </c>
      <c r="B406">
        <v>9086</v>
      </c>
      <c r="C406">
        <v>26</v>
      </c>
      <c r="D406" s="5" t="str" cm="1">
        <f t="array" ref="D406">_xlfn.IFS(C406&lt;30, "20-29",C406&lt;40, "30-39",C406&lt;50, "40-49",C406&lt;60, "50-59",Table4[[#This Row],[Age]]&gt;=60, "60+"  )</f>
        <v>20-29</v>
      </c>
      <c r="E406" t="s">
        <v>10</v>
      </c>
      <c r="F406" t="b">
        <v>0</v>
      </c>
      <c r="G406" s="1">
        <v>27954</v>
      </c>
      <c r="H406">
        <v>12</v>
      </c>
      <c r="I406" s="5" t="str" cm="1">
        <f t="array" ref="I406">_xlfn.IFS(Table4[[#This Row],[Experience]]&lt;15, "7-15 YEARS",Table4[[#This Row],[Experience]]&lt;23, "15-23  YEARS",Table4[[#This Row],[Experience]]&lt;30, "23-30 YEARS",Table4[[#This Row],[Experience]]&gt;=30, "30+ YEARS")</f>
        <v>7-15 YEARS</v>
      </c>
      <c r="J406">
        <v>82230</v>
      </c>
      <c r="K406" s="5" t="str" cm="1">
        <f t="array" ref="K406">_xlfn.IFS(Table4[[#This Row],[Salary]]&lt;50000, "0-50K",Table4[[#This Row],[Salary]]&lt;100000, "50K-1L",Table4[[#This Row],[Salary]]&lt;150000, "1L-1.5L",Table4[[#This Row],[Salary]]&lt;200000, "1.5-2L",Table4[[#This Row],[Salary]]&gt;=200000, "2L+")</f>
        <v>50K-1L</v>
      </c>
    </row>
    <row r="407" spans="1:11" x14ac:dyDescent="0.3">
      <c r="A407">
        <v>405</v>
      </c>
      <c r="B407">
        <v>9975</v>
      </c>
      <c r="C407">
        <v>22</v>
      </c>
      <c r="D407" s="5" t="str" cm="1">
        <f t="array" ref="D407">_xlfn.IFS(C407&lt;30, "20-29",C407&lt;40, "30-39",C407&lt;50, "40-49",C407&lt;60, "50-59",Table4[[#This Row],[Age]]&gt;=60, "60+"  )</f>
        <v>20-29</v>
      </c>
      <c r="E407" t="s">
        <v>12</v>
      </c>
      <c r="F407" t="b">
        <v>1</v>
      </c>
      <c r="G407" s="1">
        <v>38123</v>
      </c>
      <c r="H407">
        <v>9</v>
      </c>
      <c r="I407" s="5" t="str" cm="1">
        <f t="array" ref="I407">_xlfn.IFS(Table4[[#This Row],[Experience]]&lt;15, "7-15 YEARS",Table4[[#This Row],[Experience]]&lt;23, "15-23  YEARS",Table4[[#This Row],[Experience]]&lt;30, "23-30 YEARS",Table4[[#This Row],[Experience]]&gt;=30, "30+ YEARS")</f>
        <v>7-15 YEARS</v>
      </c>
      <c r="J407">
        <v>65079</v>
      </c>
      <c r="K407" s="5" t="str" cm="1">
        <f t="array" ref="K407">_xlfn.IFS(Table4[[#This Row],[Salary]]&lt;50000, "0-50K",Table4[[#This Row],[Salary]]&lt;100000, "50K-1L",Table4[[#This Row],[Salary]]&lt;150000, "1L-1.5L",Table4[[#This Row],[Salary]]&lt;200000, "1.5-2L",Table4[[#This Row],[Salary]]&gt;=200000, "2L+")</f>
        <v>50K-1L</v>
      </c>
    </row>
    <row r="408" spans="1:11" x14ac:dyDescent="0.3">
      <c r="A408">
        <v>406</v>
      </c>
      <c r="B408">
        <v>8328</v>
      </c>
      <c r="C408">
        <v>51</v>
      </c>
      <c r="D408" s="5" t="str" cm="1">
        <f t="array" ref="D408">_xlfn.IFS(C408&lt;30, "20-29",C408&lt;40, "30-39",C408&lt;50, "40-49",C408&lt;60, "50-59",Table4[[#This Row],[Age]]&gt;=60, "60+"  )</f>
        <v>50-59</v>
      </c>
      <c r="E408" t="s">
        <v>9</v>
      </c>
      <c r="F408" t="b">
        <v>1</v>
      </c>
      <c r="G408" s="1">
        <v>31712</v>
      </c>
      <c r="H408">
        <v>24</v>
      </c>
      <c r="I408" s="5" t="str" cm="1">
        <f t="array" ref="I408">_xlfn.IFS(Table4[[#This Row],[Experience]]&lt;15, "7-15 YEARS",Table4[[#This Row],[Experience]]&lt;23, "15-23  YEARS",Table4[[#This Row],[Experience]]&lt;30, "23-30 YEARS",Table4[[#This Row],[Experience]]&gt;=30, "30+ YEARS")</f>
        <v>23-30 YEARS</v>
      </c>
      <c r="J408">
        <v>194961</v>
      </c>
      <c r="K408" s="5" t="str" cm="1">
        <f t="array" ref="K408">_xlfn.IFS(Table4[[#This Row],[Salary]]&lt;50000, "0-50K",Table4[[#This Row],[Salary]]&lt;100000, "50K-1L",Table4[[#This Row],[Salary]]&lt;150000, "1L-1.5L",Table4[[#This Row],[Salary]]&lt;200000, "1.5-2L",Table4[[#This Row],[Salary]]&gt;=200000, "2L+")</f>
        <v>1.5-2L</v>
      </c>
    </row>
    <row r="409" spans="1:11" x14ac:dyDescent="0.3">
      <c r="A409">
        <v>407</v>
      </c>
      <c r="B409">
        <v>1695</v>
      </c>
      <c r="C409">
        <v>55</v>
      </c>
      <c r="D409" s="5" t="str" cm="1">
        <f t="array" ref="D409">_xlfn.IFS(C409&lt;30, "20-29",C409&lt;40, "30-39",C409&lt;50, "40-49",C409&lt;60, "50-59",Table4[[#This Row],[Age]]&gt;=60, "60+"  )</f>
        <v>50-59</v>
      </c>
      <c r="E409" t="s">
        <v>12</v>
      </c>
      <c r="F409" t="b">
        <v>0</v>
      </c>
      <c r="G409" s="1">
        <v>37630</v>
      </c>
      <c r="H409">
        <v>24</v>
      </c>
      <c r="I409" s="5" t="str" cm="1">
        <f t="array" ref="I409">_xlfn.IFS(Table4[[#This Row],[Experience]]&lt;15, "7-15 YEARS",Table4[[#This Row],[Experience]]&lt;23, "15-23  YEARS",Table4[[#This Row],[Experience]]&lt;30, "23-30 YEARS",Table4[[#This Row],[Experience]]&gt;=30, "30+ YEARS")</f>
        <v>23-30 YEARS</v>
      </c>
      <c r="J409">
        <v>192619</v>
      </c>
      <c r="K409" s="5" t="str" cm="1">
        <f t="array" ref="K409">_xlfn.IFS(Table4[[#This Row],[Salary]]&lt;50000, "0-50K",Table4[[#This Row],[Salary]]&lt;100000, "50K-1L",Table4[[#This Row],[Salary]]&lt;150000, "1L-1.5L",Table4[[#This Row],[Salary]]&lt;200000, "1.5-2L",Table4[[#This Row],[Salary]]&gt;=200000, "2L+")</f>
        <v>1.5-2L</v>
      </c>
    </row>
    <row r="410" spans="1:11" x14ac:dyDescent="0.3">
      <c r="A410">
        <v>408</v>
      </c>
      <c r="B410">
        <v>6633</v>
      </c>
      <c r="C410">
        <v>27</v>
      </c>
      <c r="D410" s="5" t="str" cm="1">
        <f t="array" ref="D410">_xlfn.IFS(C410&lt;30, "20-29",C410&lt;40, "30-39",C410&lt;50, "40-49",C410&lt;60, "50-59",Table4[[#This Row],[Age]]&gt;=60, "60+"  )</f>
        <v>20-29</v>
      </c>
      <c r="E410" t="s">
        <v>11</v>
      </c>
      <c r="F410" t="b">
        <v>0</v>
      </c>
      <c r="G410" s="1">
        <v>37342</v>
      </c>
      <c r="H410">
        <v>16</v>
      </c>
      <c r="I410" s="5" t="str" cm="1">
        <f t="array" ref="I410">_xlfn.IFS(Table4[[#This Row],[Experience]]&lt;15, "7-15 YEARS",Table4[[#This Row],[Experience]]&lt;23, "15-23  YEARS",Table4[[#This Row],[Experience]]&lt;30, "23-30 YEARS",Table4[[#This Row],[Experience]]&gt;=30, "30+ YEARS")</f>
        <v>15-23  YEARS</v>
      </c>
      <c r="J410">
        <v>123888</v>
      </c>
      <c r="K410" s="5" t="str" cm="1">
        <f t="array" ref="K410">_xlfn.IFS(Table4[[#This Row],[Salary]]&lt;50000, "0-50K",Table4[[#This Row],[Salary]]&lt;100000, "50K-1L",Table4[[#This Row],[Salary]]&lt;150000, "1L-1.5L",Table4[[#This Row],[Salary]]&lt;200000, "1.5-2L",Table4[[#This Row],[Salary]]&gt;=200000, "2L+")</f>
        <v>1L-1.5L</v>
      </c>
    </row>
    <row r="411" spans="1:11" x14ac:dyDescent="0.3">
      <c r="A411">
        <v>409</v>
      </c>
      <c r="B411">
        <v>5922</v>
      </c>
      <c r="C411">
        <v>57</v>
      </c>
      <c r="D411" s="5" t="str" cm="1">
        <f t="array" ref="D411">_xlfn.IFS(C411&lt;30, "20-29",C411&lt;40, "30-39",C411&lt;50, "40-49",C411&lt;60, "50-59",Table4[[#This Row],[Age]]&gt;=60, "60+"  )</f>
        <v>50-59</v>
      </c>
      <c r="E411" t="s">
        <v>9</v>
      </c>
      <c r="F411" t="b">
        <v>1</v>
      </c>
      <c r="G411" s="1">
        <v>43953</v>
      </c>
      <c r="H411">
        <v>29</v>
      </c>
      <c r="I411" s="5" t="str" cm="1">
        <f t="array" ref="I411">_xlfn.IFS(Table4[[#This Row],[Experience]]&lt;15, "7-15 YEARS",Table4[[#This Row],[Experience]]&lt;23, "15-23  YEARS",Table4[[#This Row],[Experience]]&lt;30, "23-30 YEARS",Table4[[#This Row],[Experience]]&gt;=30, "30+ YEARS")</f>
        <v>23-30 YEARS</v>
      </c>
      <c r="J411">
        <v>225741</v>
      </c>
      <c r="K411" s="5" t="str" cm="1">
        <f t="array" ref="K411">_xlfn.IFS(Table4[[#This Row],[Salary]]&lt;50000, "0-50K",Table4[[#This Row],[Salary]]&lt;100000, "50K-1L",Table4[[#This Row],[Salary]]&lt;150000, "1L-1.5L",Table4[[#This Row],[Salary]]&lt;200000, "1.5-2L",Table4[[#This Row],[Salary]]&gt;=200000, "2L+")</f>
        <v>2L+</v>
      </c>
    </row>
    <row r="412" spans="1:11" x14ac:dyDescent="0.3">
      <c r="A412">
        <v>410</v>
      </c>
      <c r="B412">
        <v>4364</v>
      </c>
      <c r="C412">
        <v>54</v>
      </c>
      <c r="D412" s="5" t="str" cm="1">
        <f t="array" ref="D412">_xlfn.IFS(C412&lt;30, "20-29",C412&lt;40, "30-39",C412&lt;50, "40-49",C412&lt;60, "50-59",Table4[[#This Row],[Age]]&gt;=60, "60+"  )</f>
        <v>50-59</v>
      </c>
      <c r="E412" t="s">
        <v>8</v>
      </c>
      <c r="F412" t="b">
        <v>0</v>
      </c>
      <c r="G412" s="1">
        <v>39838</v>
      </c>
      <c r="H412">
        <v>28</v>
      </c>
      <c r="I412" s="5" t="str" cm="1">
        <f t="array" ref="I412">_xlfn.IFS(Table4[[#This Row],[Experience]]&lt;15, "7-15 YEARS",Table4[[#This Row],[Experience]]&lt;23, "15-23  YEARS",Table4[[#This Row],[Experience]]&lt;30, "23-30 YEARS",Table4[[#This Row],[Experience]]&gt;=30, "30+ YEARS")</f>
        <v>23-30 YEARS</v>
      </c>
      <c r="J412">
        <v>221040</v>
      </c>
      <c r="K412" s="5" t="str" cm="1">
        <f t="array" ref="K412">_xlfn.IFS(Table4[[#This Row],[Salary]]&lt;50000, "0-50K",Table4[[#This Row],[Salary]]&lt;100000, "50K-1L",Table4[[#This Row],[Salary]]&lt;150000, "1L-1.5L",Table4[[#This Row],[Salary]]&lt;200000, "1.5-2L",Table4[[#This Row],[Salary]]&gt;=200000, "2L+")</f>
        <v>2L+</v>
      </c>
    </row>
    <row r="413" spans="1:11" x14ac:dyDescent="0.3">
      <c r="A413">
        <v>411</v>
      </c>
      <c r="B413">
        <v>9938</v>
      </c>
      <c r="C413">
        <v>34</v>
      </c>
      <c r="D413" s="5" t="str" cm="1">
        <f t="array" ref="D413">_xlfn.IFS(C413&lt;30, "20-29",C413&lt;40, "30-39",C413&lt;50, "40-49",C413&lt;60, "50-59",Table4[[#This Row],[Age]]&gt;=60, "60+"  )</f>
        <v>30-39</v>
      </c>
      <c r="E413" t="s">
        <v>11</v>
      </c>
      <c r="F413" t="b">
        <v>0</v>
      </c>
      <c r="G413" s="1">
        <v>43211</v>
      </c>
      <c r="H413">
        <v>16</v>
      </c>
      <c r="I413" s="5" t="str" cm="1">
        <f t="array" ref="I413">_xlfn.IFS(Table4[[#This Row],[Experience]]&lt;15, "7-15 YEARS",Table4[[#This Row],[Experience]]&lt;23, "15-23  YEARS",Table4[[#This Row],[Experience]]&lt;30, "23-30 YEARS",Table4[[#This Row],[Experience]]&gt;=30, "30+ YEARS")</f>
        <v>15-23  YEARS</v>
      </c>
      <c r="J413">
        <v>133650</v>
      </c>
      <c r="K413" s="5" t="str" cm="1">
        <f t="array" ref="K413">_xlfn.IFS(Table4[[#This Row],[Salary]]&lt;50000, "0-50K",Table4[[#This Row],[Salary]]&lt;100000, "50K-1L",Table4[[#This Row],[Salary]]&lt;150000, "1L-1.5L",Table4[[#This Row],[Salary]]&lt;200000, "1.5-2L",Table4[[#This Row],[Salary]]&gt;=200000, "2L+")</f>
        <v>1L-1.5L</v>
      </c>
    </row>
    <row r="414" spans="1:11" x14ac:dyDescent="0.3">
      <c r="A414">
        <v>412</v>
      </c>
      <c r="B414">
        <v>4303</v>
      </c>
      <c r="C414">
        <v>31</v>
      </c>
      <c r="D414" s="5" t="str" cm="1">
        <f t="array" ref="D414">_xlfn.IFS(C414&lt;30, "20-29",C414&lt;40, "30-39",C414&lt;50, "40-49",C414&lt;60, "50-59",Table4[[#This Row],[Age]]&gt;=60, "60+"  )</f>
        <v>30-39</v>
      </c>
      <c r="E414" t="s">
        <v>10</v>
      </c>
      <c r="F414" t="b">
        <v>0</v>
      </c>
      <c r="G414" s="1">
        <v>29544</v>
      </c>
      <c r="H414">
        <v>11</v>
      </c>
      <c r="I414" s="5" t="str" cm="1">
        <f t="array" ref="I414">_xlfn.IFS(Table4[[#This Row],[Experience]]&lt;15, "7-15 YEARS",Table4[[#This Row],[Experience]]&lt;23, "15-23  YEARS",Table4[[#This Row],[Experience]]&lt;30, "23-30 YEARS",Table4[[#This Row],[Experience]]&gt;=30, "30+ YEARS")</f>
        <v>7-15 YEARS</v>
      </c>
      <c r="J414">
        <v>93339</v>
      </c>
      <c r="K414" s="5" t="str" cm="1">
        <f t="array" ref="K414">_xlfn.IFS(Table4[[#This Row],[Salary]]&lt;50000, "0-50K",Table4[[#This Row],[Salary]]&lt;100000, "50K-1L",Table4[[#This Row],[Salary]]&lt;150000, "1L-1.5L",Table4[[#This Row],[Salary]]&lt;200000, "1.5-2L",Table4[[#This Row],[Salary]]&gt;=200000, "2L+")</f>
        <v>50K-1L</v>
      </c>
    </row>
    <row r="415" spans="1:11" x14ac:dyDescent="0.3">
      <c r="A415">
        <v>413</v>
      </c>
      <c r="B415">
        <v>4845</v>
      </c>
      <c r="C415">
        <v>42</v>
      </c>
      <c r="D415" s="5" t="str" cm="1">
        <f t="array" ref="D415">_xlfn.IFS(C415&lt;30, "20-29",C415&lt;40, "30-39",C415&lt;50, "40-49",C415&lt;60, "50-59",Table4[[#This Row],[Age]]&gt;=60, "60+"  )</f>
        <v>40-49</v>
      </c>
      <c r="E415" t="s">
        <v>8</v>
      </c>
      <c r="F415" t="b">
        <v>0</v>
      </c>
      <c r="G415" s="1">
        <v>34104</v>
      </c>
      <c r="H415">
        <v>20</v>
      </c>
      <c r="I415" s="5" t="str" cm="1">
        <f t="array" ref="I415">_xlfn.IFS(Table4[[#This Row],[Experience]]&lt;15, "7-15 YEARS",Table4[[#This Row],[Experience]]&lt;23, "15-23  YEARS",Table4[[#This Row],[Experience]]&lt;30, "23-30 YEARS",Table4[[#This Row],[Experience]]&gt;=30, "30+ YEARS")</f>
        <v>15-23  YEARS</v>
      </c>
      <c r="J415">
        <v>163242</v>
      </c>
      <c r="K415" s="5" t="str" cm="1">
        <f t="array" ref="K415">_xlfn.IFS(Table4[[#This Row],[Salary]]&lt;50000, "0-50K",Table4[[#This Row],[Salary]]&lt;100000, "50K-1L",Table4[[#This Row],[Salary]]&lt;150000, "1L-1.5L",Table4[[#This Row],[Salary]]&lt;200000, "1.5-2L",Table4[[#This Row],[Salary]]&gt;=200000, "2L+")</f>
        <v>1.5-2L</v>
      </c>
    </row>
    <row r="416" spans="1:11" x14ac:dyDescent="0.3">
      <c r="A416">
        <v>414</v>
      </c>
      <c r="B416">
        <v>8086</v>
      </c>
      <c r="C416">
        <v>36</v>
      </c>
      <c r="D416" s="5" t="str" cm="1">
        <f t="array" ref="D416">_xlfn.IFS(C416&lt;30, "20-29",C416&lt;40, "30-39",C416&lt;50, "40-49",C416&lt;60, "50-59",Table4[[#This Row],[Age]]&gt;=60, "60+"  )</f>
        <v>30-39</v>
      </c>
      <c r="E416" t="s">
        <v>12</v>
      </c>
      <c r="F416" t="b">
        <v>0</v>
      </c>
      <c r="G416" s="1">
        <v>27530</v>
      </c>
      <c r="H416">
        <v>16</v>
      </c>
      <c r="I416" s="5" t="str" cm="1">
        <f t="array" ref="I416">_xlfn.IFS(Table4[[#This Row],[Experience]]&lt;15, "7-15 YEARS",Table4[[#This Row],[Experience]]&lt;23, "15-23  YEARS",Table4[[#This Row],[Experience]]&lt;30, "23-30 YEARS",Table4[[#This Row],[Experience]]&gt;=30, "30+ YEARS")</f>
        <v>15-23  YEARS</v>
      </c>
      <c r="J416">
        <v>126451</v>
      </c>
      <c r="K416" s="5" t="str" cm="1">
        <f t="array" ref="K416">_xlfn.IFS(Table4[[#This Row],[Salary]]&lt;50000, "0-50K",Table4[[#This Row],[Salary]]&lt;100000, "50K-1L",Table4[[#This Row],[Salary]]&lt;150000, "1L-1.5L",Table4[[#This Row],[Salary]]&lt;200000, "1.5-2L",Table4[[#This Row],[Salary]]&gt;=200000, "2L+")</f>
        <v>1L-1.5L</v>
      </c>
    </row>
    <row r="417" spans="1:11" x14ac:dyDescent="0.3">
      <c r="A417">
        <v>415</v>
      </c>
      <c r="B417">
        <v>4245</v>
      </c>
      <c r="C417">
        <v>23</v>
      </c>
      <c r="D417" s="5" t="str" cm="1">
        <f t="array" ref="D417">_xlfn.IFS(C417&lt;30, "20-29",C417&lt;40, "30-39",C417&lt;50, "40-49",C417&lt;60, "50-59",Table4[[#This Row],[Age]]&gt;=60, "60+"  )</f>
        <v>20-29</v>
      </c>
      <c r="E417" t="s">
        <v>11</v>
      </c>
      <c r="F417" t="b">
        <v>0</v>
      </c>
      <c r="G417" s="1">
        <v>40832</v>
      </c>
      <c r="H417">
        <v>11</v>
      </c>
      <c r="I417" s="5" t="str" cm="1">
        <f t="array" ref="I417">_xlfn.IFS(Table4[[#This Row],[Experience]]&lt;15, "7-15 YEARS",Table4[[#This Row],[Experience]]&lt;23, "15-23  YEARS",Table4[[#This Row],[Experience]]&lt;30, "23-30 YEARS",Table4[[#This Row],[Experience]]&gt;=30, "30+ YEARS")</f>
        <v>7-15 YEARS</v>
      </c>
      <c r="J417">
        <v>91619</v>
      </c>
      <c r="K417" s="5" t="str" cm="1">
        <f t="array" ref="K417">_xlfn.IFS(Table4[[#This Row],[Salary]]&lt;50000, "0-50K",Table4[[#This Row],[Salary]]&lt;100000, "50K-1L",Table4[[#This Row],[Salary]]&lt;150000, "1L-1.5L",Table4[[#This Row],[Salary]]&lt;200000, "1.5-2L",Table4[[#This Row],[Salary]]&gt;=200000, "2L+")</f>
        <v>50K-1L</v>
      </c>
    </row>
    <row r="418" spans="1:11" x14ac:dyDescent="0.3">
      <c r="A418">
        <v>416</v>
      </c>
      <c r="B418">
        <v>6736</v>
      </c>
      <c r="C418">
        <v>43</v>
      </c>
      <c r="D418" s="5" t="str" cm="1">
        <f t="array" ref="D418">_xlfn.IFS(C418&lt;30, "20-29",C418&lt;40, "30-39",C418&lt;50, "40-49",C418&lt;60, "50-59",Table4[[#This Row],[Age]]&gt;=60, "60+"  )</f>
        <v>40-49</v>
      </c>
      <c r="E418" t="s">
        <v>10</v>
      </c>
      <c r="F418" t="b">
        <v>1</v>
      </c>
      <c r="G418" s="1">
        <v>29109</v>
      </c>
      <c r="H418">
        <v>20</v>
      </c>
      <c r="I418" s="5" t="str" cm="1">
        <f t="array" ref="I418">_xlfn.IFS(Table4[[#This Row],[Experience]]&lt;15, "7-15 YEARS",Table4[[#This Row],[Experience]]&lt;23, "15-23  YEARS",Table4[[#This Row],[Experience]]&lt;30, "23-30 YEARS",Table4[[#This Row],[Experience]]&gt;=30, "30+ YEARS")</f>
        <v>15-23  YEARS</v>
      </c>
      <c r="J418">
        <v>171600</v>
      </c>
      <c r="K418" s="5" t="str" cm="1">
        <f t="array" ref="K418">_xlfn.IFS(Table4[[#This Row],[Salary]]&lt;50000, "0-50K",Table4[[#This Row],[Salary]]&lt;100000, "50K-1L",Table4[[#This Row],[Salary]]&lt;150000, "1L-1.5L",Table4[[#This Row],[Salary]]&lt;200000, "1.5-2L",Table4[[#This Row],[Salary]]&gt;=200000, "2L+")</f>
        <v>1.5-2L</v>
      </c>
    </row>
    <row r="419" spans="1:11" x14ac:dyDescent="0.3">
      <c r="A419">
        <v>417</v>
      </c>
      <c r="B419">
        <v>9276</v>
      </c>
      <c r="C419">
        <v>23</v>
      </c>
      <c r="D419" s="5" t="str" cm="1">
        <f t="array" ref="D419">_xlfn.IFS(C419&lt;30, "20-29",C419&lt;40, "30-39",C419&lt;50, "40-49",C419&lt;60, "50-59",Table4[[#This Row],[Age]]&gt;=60, "60+"  )</f>
        <v>20-29</v>
      </c>
      <c r="E419" t="s">
        <v>12</v>
      </c>
      <c r="F419" t="b">
        <v>0</v>
      </c>
      <c r="G419" s="1">
        <v>30383</v>
      </c>
      <c r="H419">
        <v>10</v>
      </c>
      <c r="I419" s="5" t="str" cm="1">
        <f t="array" ref="I419">_xlfn.IFS(Table4[[#This Row],[Experience]]&lt;15, "7-15 YEARS",Table4[[#This Row],[Experience]]&lt;23, "15-23  YEARS",Table4[[#This Row],[Experience]]&lt;30, "23-30 YEARS",Table4[[#This Row],[Experience]]&gt;=30, "30+ YEARS")</f>
        <v>7-15 YEARS</v>
      </c>
      <c r="J419">
        <v>75749</v>
      </c>
      <c r="K419" s="5" t="str" cm="1">
        <f t="array" ref="K419">_xlfn.IFS(Table4[[#This Row],[Salary]]&lt;50000, "0-50K",Table4[[#This Row],[Salary]]&lt;100000, "50K-1L",Table4[[#This Row],[Salary]]&lt;150000, "1L-1.5L",Table4[[#This Row],[Salary]]&lt;200000, "1.5-2L",Table4[[#This Row],[Salary]]&gt;=200000, "2L+")</f>
        <v>50K-1L</v>
      </c>
    </row>
    <row r="420" spans="1:11" x14ac:dyDescent="0.3">
      <c r="A420">
        <v>418</v>
      </c>
      <c r="B420">
        <v>4411</v>
      </c>
      <c r="C420">
        <v>36</v>
      </c>
      <c r="D420" s="5" t="str" cm="1">
        <f t="array" ref="D420">_xlfn.IFS(C420&lt;30, "20-29",C420&lt;40, "30-39",C420&lt;50, "40-49",C420&lt;60, "50-59",Table4[[#This Row],[Age]]&gt;=60, "60+"  )</f>
        <v>30-39</v>
      </c>
      <c r="E420" t="s">
        <v>10</v>
      </c>
      <c r="F420" t="b">
        <v>1</v>
      </c>
      <c r="G420" s="1">
        <v>44176</v>
      </c>
      <c r="H420">
        <v>19</v>
      </c>
      <c r="I420" s="5" t="str" cm="1">
        <f t="array" ref="I420">_xlfn.IFS(Table4[[#This Row],[Experience]]&lt;15, "7-15 YEARS",Table4[[#This Row],[Experience]]&lt;23, "15-23  YEARS",Table4[[#This Row],[Experience]]&lt;30, "23-30 YEARS",Table4[[#This Row],[Experience]]&gt;=30, "30+ YEARS")</f>
        <v>15-23  YEARS</v>
      </c>
      <c r="J420">
        <v>146689</v>
      </c>
      <c r="K420" s="5" t="str" cm="1">
        <f t="array" ref="K420">_xlfn.IFS(Table4[[#This Row],[Salary]]&lt;50000, "0-50K",Table4[[#This Row],[Salary]]&lt;100000, "50K-1L",Table4[[#This Row],[Salary]]&lt;150000, "1L-1.5L",Table4[[#This Row],[Salary]]&lt;200000, "1.5-2L",Table4[[#This Row],[Salary]]&gt;=200000, "2L+")</f>
        <v>1L-1.5L</v>
      </c>
    </row>
    <row r="421" spans="1:11" x14ac:dyDescent="0.3">
      <c r="A421">
        <v>419</v>
      </c>
      <c r="B421">
        <v>3693</v>
      </c>
      <c r="C421">
        <v>36</v>
      </c>
      <c r="D421" s="5" t="str" cm="1">
        <f t="array" ref="D421">_xlfn.IFS(C421&lt;30, "20-29",C421&lt;40, "30-39",C421&lt;50, "40-49",C421&lt;60, "50-59",Table4[[#This Row],[Age]]&gt;=60, "60+"  )</f>
        <v>30-39</v>
      </c>
      <c r="E421" t="s">
        <v>12</v>
      </c>
      <c r="F421" t="b">
        <v>1</v>
      </c>
      <c r="G421" s="1">
        <v>37730</v>
      </c>
      <c r="H421">
        <v>17</v>
      </c>
      <c r="I421" s="5" t="str" cm="1">
        <f t="array" ref="I421">_xlfn.IFS(Table4[[#This Row],[Experience]]&lt;15, "7-15 YEARS",Table4[[#This Row],[Experience]]&lt;23, "15-23  YEARS",Table4[[#This Row],[Experience]]&lt;30, "23-30 YEARS",Table4[[#This Row],[Experience]]&gt;=30, "30+ YEARS")</f>
        <v>15-23  YEARS</v>
      </c>
      <c r="J421">
        <v>141159</v>
      </c>
      <c r="K421" s="5" t="str" cm="1">
        <f t="array" ref="K421">_xlfn.IFS(Table4[[#This Row],[Salary]]&lt;50000, "0-50K",Table4[[#This Row],[Salary]]&lt;100000, "50K-1L",Table4[[#This Row],[Salary]]&lt;150000, "1L-1.5L",Table4[[#This Row],[Salary]]&lt;200000, "1.5-2L",Table4[[#This Row],[Salary]]&gt;=200000, "2L+")</f>
        <v>1L-1.5L</v>
      </c>
    </row>
    <row r="422" spans="1:11" x14ac:dyDescent="0.3">
      <c r="A422">
        <v>420</v>
      </c>
      <c r="B422">
        <v>1513</v>
      </c>
      <c r="C422">
        <v>41</v>
      </c>
      <c r="D422" s="5" t="str" cm="1">
        <f t="array" ref="D422">_xlfn.IFS(C422&lt;30, "20-29",C422&lt;40, "30-39",C422&lt;50, "40-49",C422&lt;60, "50-59",Table4[[#This Row],[Age]]&gt;=60, "60+"  )</f>
        <v>40-49</v>
      </c>
      <c r="E422" t="s">
        <v>8</v>
      </c>
      <c r="F422" t="b">
        <v>0</v>
      </c>
      <c r="G422" s="1">
        <v>36515</v>
      </c>
      <c r="H422">
        <v>18</v>
      </c>
      <c r="I422" s="5" t="str" cm="1">
        <f t="array" ref="I422">_xlfn.IFS(Table4[[#This Row],[Experience]]&lt;15, "7-15 YEARS",Table4[[#This Row],[Experience]]&lt;23, "15-23  YEARS",Table4[[#This Row],[Experience]]&lt;30, "23-30 YEARS",Table4[[#This Row],[Experience]]&gt;=30, "30+ YEARS")</f>
        <v>15-23  YEARS</v>
      </c>
      <c r="J422">
        <v>143584</v>
      </c>
      <c r="K422" s="5" t="str" cm="1">
        <f t="array" ref="K422">_xlfn.IFS(Table4[[#This Row],[Salary]]&lt;50000, "0-50K",Table4[[#This Row],[Salary]]&lt;100000, "50K-1L",Table4[[#This Row],[Salary]]&lt;150000, "1L-1.5L",Table4[[#This Row],[Salary]]&lt;200000, "1.5-2L",Table4[[#This Row],[Salary]]&gt;=200000, "2L+")</f>
        <v>1L-1.5L</v>
      </c>
    </row>
    <row r="423" spans="1:11" x14ac:dyDescent="0.3">
      <c r="A423">
        <v>421</v>
      </c>
      <c r="B423">
        <v>6094</v>
      </c>
      <c r="C423">
        <v>30</v>
      </c>
      <c r="D423" s="5" t="str" cm="1">
        <f t="array" ref="D423">_xlfn.IFS(C423&lt;30, "20-29",C423&lt;40, "30-39",C423&lt;50, "40-49",C423&lt;60, "50-59",Table4[[#This Row],[Age]]&gt;=60, "60+"  )</f>
        <v>30-39</v>
      </c>
      <c r="E423" t="s">
        <v>10</v>
      </c>
      <c r="F423" t="b">
        <v>1</v>
      </c>
      <c r="G423" s="1">
        <v>40968</v>
      </c>
      <c r="H423">
        <v>12</v>
      </c>
      <c r="I423" s="5" t="str" cm="1">
        <f t="array" ref="I423">_xlfn.IFS(Table4[[#This Row],[Experience]]&lt;15, "7-15 YEARS",Table4[[#This Row],[Experience]]&lt;23, "15-23  YEARS",Table4[[#This Row],[Experience]]&lt;30, "23-30 YEARS",Table4[[#This Row],[Experience]]&gt;=30, "30+ YEARS")</f>
        <v>7-15 YEARS</v>
      </c>
      <c r="J423">
        <v>92136</v>
      </c>
      <c r="K423" s="5" t="str" cm="1">
        <f t="array" ref="K423">_xlfn.IFS(Table4[[#This Row],[Salary]]&lt;50000, "0-50K",Table4[[#This Row],[Salary]]&lt;100000, "50K-1L",Table4[[#This Row],[Salary]]&lt;150000, "1L-1.5L",Table4[[#This Row],[Salary]]&lt;200000, "1.5-2L",Table4[[#This Row],[Salary]]&gt;=200000, "2L+")</f>
        <v>50K-1L</v>
      </c>
    </row>
    <row r="424" spans="1:11" x14ac:dyDescent="0.3">
      <c r="A424">
        <v>422</v>
      </c>
      <c r="B424">
        <v>9908</v>
      </c>
      <c r="C424">
        <v>53</v>
      </c>
      <c r="D424" s="5" t="str" cm="1">
        <f t="array" ref="D424">_xlfn.IFS(C424&lt;30, "20-29",C424&lt;40, "30-39",C424&lt;50, "40-49",C424&lt;60, "50-59",Table4[[#This Row],[Age]]&gt;=60, "60+"  )</f>
        <v>50-59</v>
      </c>
      <c r="E424" t="s">
        <v>12</v>
      </c>
      <c r="F424" t="b">
        <v>0</v>
      </c>
      <c r="G424" s="1">
        <v>44748</v>
      </c>
      <c r="H424">
        <v>26</v>
      </c>
      <c r="I424" s="5" t="str" cm="1">
        <f t="array" ref="I424">_xlfn.IFS(Table4[[#This Row],[Experience]]&lt;15, "7-15 YEARS",Table4[[#This Row],[Experience]]&lt;23, "15-23  YEARS",Table4[[#This Row],[Experience]]&lt;30, "23-30 YEARS",Table4[[#This Row],[Experience]]&gt;=30, "30+ YEARS")</f>
        <v>23-30 YEARS</v>
      </c>
      <c r="J424">
        <v>204041</v>
      </c>
      <c r="K424" s="5" t="str" cm="1">
        <f t="array" ref="K424">_xlfn.IFS(Table4[[#This Row],[Salary]]&lt;50000, "0-50K",Table4[[#This Row],[Salary]]&lt;100000, "50K-1L",Table4[[#This Row],[Salary]]&lt;150000, "1L-1.5L",Table4[[#This Row],[Salary]]&lt;200000, "1.5-2L",Table4[[#This Row],[Salary]]&gt;=200000, "2L+")</f>
        <v>2L+</v>
      </c>
    </row>
    <row r="425" spans="1:11" x14ac:dyDescent="0.3">
      <c r="A425">
        <v>423</v>
      </c>
      <c r="B425">
        <v>5991</v>
      </c>
      <c r="C425">
        <v>60</v>
      </c>
      <c r="D425" s="5" t="str" cm="1">
        <f t="array" ref="D425">_xlfn.IFS(C425&lt;30, "20-29",C425&lt;40, "30-39",C425&lt;50, "40-49",C425&lt;60, "50-59",Table4[[#This Row],[Age]]&gt;=60, "60+"  )</f>
        <v>60+</v>
      </c>
      <c r="E425" t="s">
        <v>11</v>
      </c>
      <c r="F425" t="b">
        <v>0</v>
      </c>
      <c r="G425" s="1">
        <v>34393</v>
      </c>
      <c r="H425">
        <v>29</v>
      </c>
      <c r="I425" s="5" t="str" cm="1">
        <f t="array" ref="I425">_xlfn.IFS(Table4[[#This Row],[Experience]]&lt;15, "7-15 YEARS",Table4[[#This Row],[Experience]]&lt;23, "15-23  YEARS",Table4[[#This Row],[Experience]]&lt;30, "23-30 YEARS",Table4[[#This Row],[Experience]]&gt;=30, "30+ YEARS")</f>
        <v>23-30 YEARS</v>
      </c>
      <c r="J425">
        <v>227146</v>
      </c>
      <c r="K425" s="5" t="str" cm="1">
        <f t="array" ref="K425">_xlfn.IFS(Table4[[#This Row],[Salary]]&lt;50000, "0-50K",Table4[[#This Row],[Salary]]&lt;100000, "50K-1L",Table4[[#This Row],[Salary]]&lt;150000, "1L-1.5L",Table4[[#This Row],[Salary]]&lt;200000, "1.5-2L",Table4[[#This Row],[Salary]]&gt;=200000, "2L+")</f>
        <v>2L+</v>
      </c>
    </row>
    <row r="426" spans="1:11" x14ac:dyDescent="0.3">
      <c r="A426">
        <v>424</v>
      </c>
      <c r="B426">
        <v>8398</v>
      </c>
      <c r="C426">
        <v>36</v>
      </c>
      <c r="D426" s="5" t="str" cm="1">
        <f t="array" ref="D426">_xlfn.IFS(C426&lt;30, "20-29",C426&lt;40, "30-39",C426&lt;50, "40-49",C426&lt;60, "50-59",Table4[[#This Row],[Age]]&gt;=60, "60+"  )</f>
        <v>30-39</v>
      </c>
      <c r="E426" t="s">
        <v>8</v>
      </c>
      <c r="F426" t="b">
        <v>1</v>
      </c>
      <c r="G426" s="1">
        <v>30562</v>
      </c>
      <c r="H426">
        <v>14</v>
      </c>
      <c r="I426" s="5" t="str" cm="1">
        <f t="array" ref="I426">_xlfn.IFS(Table4[[#This Row],[Experience]]&lt;15, "7-15 YEARS",Table4[[#This Row],[Experience]]&lt;23, "15-23  YEARS",Table4[[#This Row],[Experience]]&lt;30, "23-30 YEARS",Table4[[#This Row],[Experience]]&gt;=30, "30+ YEARS")</f>
        <v>7-15 YEARS</v>
      </c>
      <c r="J426">
        <v>107232</v>
      </c>
      <c r="K426" s="5" t="str" cm="1">
        <f t="array" ref="K426">_xlfn.IFS(Table4[[#This Row],[Salary]]&lt;50000, "0-50K",Table4[[#This Row],[Salary]]&lt;100000, "50K-1L",Table4[[#This Row],[Salary]]&lt;150000, "1L-1.5L",Table4[[#This Row],[Salary]]&lt;200000, "1.5-2L",Table4[[#This Row],[Salary]]&gt;=200000, "2L+")</f>
        <v>1L-1.5L</v>
      </c>
    </row>
    <row r="427" spans="1:11" x14ac:dyDescent="0.3">
      <c r="A427">
        <v>425</v>
      </c>
      <c r="B427">
        <v>2660</v>
      </c>
      <c r="C427">
        <v>57</v>
      </c>
      <c r="D427" s="5" t="str" cm="1">
        <f t="array" ref="D427">_xlfn.IFS(C427&lt;30, "20-29",C427&lt;40, "30-39",C427&lt;50, "40-49",C427&lt;60, "50-59",Table4[[#This Row],[Age]]&gt;=60, "60+"  )</f>
        <v>50-59</v>
      </c>
      <c r="E427" t="s">
        <v>9</v>
      </c>
      <c r="F427" t="b">
        <v>0</v>
      </c>
      <c r="G427" s="1">
        <v>42332</v>
      </c>
      <c r="H427">
        <v>28</v>
      </c>
      <c r="I427" s="5" t="str" cm="1">
        <f t="array" ref="I427">_xlfn.IFS(Table4[[#This Row],[Experience]]&lt;15, "7-15 YEARS",Table4[[#This Row],[Experience]]&lt;23, "15-23  YEARS",Table4[[#This Row],[Experience]]&lt;30, "23-30 YEARS",Table4[[#This Row],[Experience]]&gt;=30, "30+ YEARS")</f>
        <v>23-30 YEARS</v>
      </c>
      <c r="J427">
        <v>222824</v>
      </c>
      <c r="K427" s="5" t="str" cm="1">
        <f t="array" ref="K427">_xlfn.IFS(Table4[[#This Row],[Salary]]&lt;50000, "0-50K",Table4[[#This Row],[Salary]]&lt;100000, "50K-1L",Table4[[#This Row],[Salary]]&lt;150000, "1L-1.5L",Table4[[#This Row],[Salary]]&lt;200000, "1.5-2L",Table4[[#This Row],[Salary]]&gt;=200000, "2L+")</f>
        <v>2L+</v>
      </c>
    </row>
    <row r="428" spans="1:11" x14ac:dyDescent="0.3">
      <c r="A428">
        <v>426</v>
      </c>
      <c r="B428">
        <v>7255</v>
      </c>
      <c r="C428">
        <v>37</v>
      </c>
      <c r="D428" s="5" t="str" cm="1">
        <f t="array" ref="D428">_xlfn.IFS(C428&lt;30, "20-29",C428&lt;40, "30-39",C428&lt;50, "40-49",C428&lt;60, "50-59",Table4[[#This Row],[Age]]&gt;=60, "60+"  )</f>
        <v>30-39</v>
      </c>
      <c r="E428" t="s">
        <v>8</v>
      </c>
      <c r="F428" t="b">
        <v>0</v>
      </c>
      <c r="G428" s="1">
        <v>40231</v>
      </c>
      <c r="H428">
        <v>21</v>
      </c>
      <c r="I428" s="5" t="str" cm="1">
        <f t="array" ref="I428">_xlfn.IFS(Table4[[#This Row],[Experience]]&lt;15, "7-15 YEARS",Table4[[#This Row],[Experience]]&lt;23, "15-23  YEARS",Table4[[#This Row],[Experience]]&lt;30, "23-30 YEARS",Table4[[#This Row],[Experience]]&gt;=30, "30+ YEARS")</f>
        <v>15-23  YEARS</v>
      </c>
      <c r="J428">
        <v>162790</v>
      </c>
      <c r="K428" s="5" t="str" cm="1">
        <f t="array" ref="K428">_xlfn.IFS(Table4[[#This Row],[Salary]]&lt;50000, "0-50K",Table4[[#This Row],[Salary]]&lt;100000, "50K-1L",Table4[[#This Row],[Salary]]&lt;150000, "1L-1.5L",Table4[[#This Row],[Salary]]&lt;200000, "1.5-2L",Table4[[#This Row],[Salary]]&gt;=200000, "2L+")</f>
        <v>1.5-2L</v>
      </c>
    </row>
    <row r="429" spans="1:11" x14ac:dyDescent="0.3">
      <c r="A429">
        <v>427</v>
      </c>
      <c r="B429">
        <v>2687</v>
      </c>
      <c r="C429">
        <v>50</v>
      </c>
      <c r="D429" s="5" t="str" cm="1">
        <f t="array" ref="D429">_xlfn.IFS(C429&lt;30, "20-29",C429&lt;40, "30-39",C429&lt;50, "40-49",C429&lt;60, "50-59",Table4[[#This Row],[Age]]&gt;=60, "60+"  )</f>
        <v>50-59</v>
      </c>
      <c r="E429" t="s">
        <v>12</v>
      </c>
      <c r="F429" t="b">
        <v>1</v>
      </c>
      <c r="G429" s="1">
        <v>38827</v>
      </c>
      <c r="H429">
        <v>18</v>
      </c>
      <c r="I429" s="5" t="str" cm="1">
        <f t="array" ref="I429">_xlfn.IFS(Table4[[#This Row],[Experience]]&lt;15, "7-15 YEARS",Table4[[#This Row],[Experience]]&lt;23, "15-23  YEARS",Table4[[#This Row],[Experience]]&lt;30, "23-30 YEARS",Table4[[#This Row],[Experience]]&gt;=30, "30+ YEARS")</f>
        <v>15-23  YEARS</v>
      </c>
      <c r="J429">
        <v>150069</v>
      </c>
      <c r="K429" s="5" t="str" cm="1">
        <f t="array" ref="K429">_xlfn.IFS(Table4[[#This Row],[Salary]]&lt;50000, "0-50K",Table4[[#This Row],[Salary]]&lt;100000, "50K-1L",Table4[[#This Row],[Salary]]&lt;150000, "1L-1.5L",Table4[[#This Row],[Salary]]&lt;200000, "1.5-2L",Table4[[#This Row],[Salary]]&gt;=200000, "2L+")</f>
        <v>1.5-2L</v>
      </c>
    </row>
    <row r="430" spans="1:11" x14ac:dyDescent="0.3">
      <c r="A430">
        <v>428</v>
      </c>
      <c r="B430">
        <v>8717</v>
      </c>
      <c r="C430">
        <v>44</v>
      </c>
      <c r="D430" s="5" t="str" cm="1">
        <f t="array" ref="D430">_xlfn.IFS(C430&lt;30, "20-29",C430&lt;40, "30-39",C430&lt;50, "40-49",C430&lt;60, "50-59",Table4[[#This Row],[Age]]&gt;=60, "60+"  )</f>
        <v>40-49</v>
      </c>
      <c r="E430" t="s">
        <v>8</v>
      </c>
      <c r="F430" t="b">
        <v>0</v>
      </c>
      <c r="G430" s="1">
        <v>36023</v>
      </c>
      <c r="H430">
        <v>22</v>
      </c>
      <c r="I430" s="5" t="str" cm="1">
        <f t="array" ref="I430">_xlfn.IFS(Table4[[#This Row],[Experience]]&lt;15, "7-15 YEARS",Table4[[#This Row],[Experience]]&lt;23, "15-23  YEARS",Table4[[#This Row],[Experience]]&lt;30, "23-30 YEARS",Table4[[#This Row],[Experience]]&gt;=30, "30+ YEARS")</f>
        <v>15-23  YEARS</v>
      </c>
      <c r="J430">
        <v>172707</v>
      </c>
      <c r="K430" s="5" t="str" cm="1">
        <f t="array" ref="K430">_xlfn.IFS(Table4[[#This Row],[Salary]]&lt;50000, "0-50K",Table4[[#This Row],[Salary]]&lt;100000, "50K-1L",Table4[[#This Row],[Salary]]&lt;150000, "1L-1.5L",Table4[[#This Row],[Salary]]&lt;200000, "1.5-2L",Table4[[#This Row],[Salary]]&gt;=200000, "2L+")</f>
        <v>1.5-2L</v>
      </c>
    </row>
    <row r="431" spans="1:11" x14ac:dyDescent="0.3">
      <c r="A431">
        <v>429</v>
      </c>
      <c r="B431">
        <v>1471</v>
      </c>
      <c r="C431">
        <v>49</v>
      </c>
      <c r="D431" s="5" t="str" cm="1">
        <f t="array" ref="D431">_xlfn.IFS(C431&lt;30, "20-29",C431&lt;40, "30-39",C431&lt;50, "40-49",C431&lt;60, "50-59",Table4[[#This Row],[Age]]&gt;=60, "60+"  )</f>
        <v>40-49</v>
      </c>
      <c r="E431" t="s">
        <v>12</v>
      </c>
      <c r="F431" t="b">
        <v>0</v>
      </c>
      <c r="G431" s="1">
        <v>44570</v>
      </c>
      <c r="H431">
        <v>25</v>
      </c>
      <c r="I431" s="5" t="str" cm="1">
        <f t="array" ref="I431">_xlfn.IFS(Table4[[#This Row],[Experience]]&lt;15, "7-15 YEARS",Table4[[#This Row],[Experience]]&lt;23, "15-23  YEARS",Table4[[#This Row],[Experience]]&lt;30, "23-30 YEARS",Table4[[#This Row],[Experience]]&gt;=30, "30+ YEARS")</f>
        <v>23-30 YEARS</v>
      </c>
      <c r="J431">
        <v>200491</v>
      </c>
      <c r="K431" s="5" t="str" cm="1">
        <f t="array" ref="K431">_xlfn.IFS(Table4[[#This Row],[Salary]]&lt;50000, "0-50K",Table4[[#This Row],[Salary]]&lt;100000, "50K-1L",Table4[[#This Row],[Salary]]&lt;150000, "1L-1.5L",Table4[[#This Row],[Salary]]&lt;200000, "1.5-2L",Table4[[#This Row],[Salary]]&gt;=200000, "2L+")</f>
        <v>2L+</v>
      </c>
    </row>
    <row r="432" spans="1:11" x14ac:dyDescent="0.3">
      <c r="A432">
        <v>430</v>
      </c>
      <c r="B432">
        <v>3188</v>
      </c>
      <c r="C432">
        <v>64</v>
      </c>
      <c r="D432" s="5" t="str" cm="1">
        <f t="array" ref="D432">_xlfn.IFS(C432&lt;30, "20-29",C432&lt;40, "30-39",C432&lt;50, "40-49",C432&lt;60, "50-59",Table4[[#This Row],[Age]]&gt;=60, "60+"  )</f>
        <v>60+</v>
      </c>
      <c r="E432" t="s">
        <v>8</v>
      </c>
      <c r="F432" t="b">
        <v>0</v>
      </c>
      <c r="G432" s="1">
        <v>31911</v>
      </c>
      <c r="H432">
        <v>31</v>
      </c>
      <c r="I432" s="5" t="str" cm="1">
        <f t="array" ref="I432">_xlfn.IFS(Table4[[#This Row],[Experience]]&lt;15, "7-15 YEARS",Table4[[#This Row],[Experience]]&lt;23, "15-23  YEARS",Table4[[#This Row],[Experience]]&lt;30, "23-30 YEARS",Table4[[#This Row],[Experience]]&gt;=30, "30+ YEARS")</f>
        <v>30+ YEARS</v>
      </c>
      <c r="J432">
        <v>247653</v>
      </c>
      <c r="K432" s="5" t="str" cm="1">
        <f t="array" ref="K432">_xlfn.IFS(Table4[[#This Row],[Salary]]&lt;50000, "0-50K",Table4[[#This Row],[Salary]]&lt;100000, "50K-1L",Table4[[#This Row],[Salary]]&lt;150000, "1L-1.5L",Table4[[#This Row],[Salary]]&lt;200000, "1.5-2L",Table4[[#This Row],[Salary]]&gt;=200000, "2L+")</f>
        <v>2L+</v>
      </c>
    </row>
    <row r="433" spans="1:11" x14ac:dyDescent="0.3">
      <c r="A433">
        <v>431</v>
      </c>
      <c r="B433">
        <v>7435</v>
      </c>
      <c r="C433">
        <v>49</v>
      </c>
      <c r="D433" s="5" t="str" cm="1">
        <f t="array" ref="D433">_xlfn.IFS(C433&lt;30, "20-29",C433&lt;40, "30-39",C433&lt;50, "40-49",C433&lt;60, "50-59",Table4[[#This Row],[Age]]&gt;=60, "60+"  )</f>
        <v>40-49</v>
      </c>
      <c r="E433" t="s">
        <v>8</v>
      </c>
      <c r="F433" t="b">
        <v>0</v>
      </c>
      <c r="G433" s="1">
        <v>44346</v>
      </c>
      <c r="H433">
        <v>24</v>
      </c>
      <c r="I433" s="5" t="str" cm="1">
        <f t="array" ref="I433">_xlfn.IFS(Table4[[#This Row],[Experience]]&lt;15, "7-15 YEARS",Table4[[#This Row],[Experience]]&lt;23, "15-23  YEARS",Table4[[#This Row],[Experience]]&lt;30, "23-30 YEARS",Table4[[#This Row],[Experience]]&gt;=30, "30+ YEARS")</f>
        <v>23-30 YEARS</v>
      </c>
      <c r="J433">
        <v>191755</v>
      </c>
      <c r="K433" s="5" t="str" cm="1">
        <f t="array" ref="K433">_xlfn.IFS(Table4[[#This Row],[Salary]]&lt;50000, "0-50K",Table4[[#This Row],[Salary]]&lt;100000, "50K-1L",Table4[[#This Row],[Salary]]&lt;150000, "1L-1.5L",Table4[[#This Row],[Salary]]&lt;200000, "1.5-2L",Table4[[#This Row],[Salary]]&gt;=200000, "2L+")</f>
        <v>1.5-2L</v>
      </c>
    </row>
    <row r="434" spans="1:11" x14ac:dyDescent="0.3">
      <c r="A434">
        <v>432</v>
      </c>
      <c r="B434">
        <v>2002</v>
      </c>
      <c r="C434">
        <v>27</v>
      </c>
      <c r="D434" s="5" t="str" cm="1">
        <f t="array" ref="D434">_xlfn.IFS(C434&lt;30, "20-29",C434&lt;40, "30-39",C434&lt;50, "40-49",C434&lt;60, "50-59",Table4[[#This Row],[Age]]&gt;=60, "60+"  )</f>
        <v>20-29</v>
      </c>
      <c r="E434" t="s">
        <v>9</v>
      </c>
      <c r="F434" t="b">
        <v>1</v>
      </c>
      <c r="G434" s="1">
        <v>28895</v>
      </c>
      <c r="H434">
        <v>15</v>
      </c>
      <c r="I434" s="5" t="str" cm="1">
        <f t="array" ref="I434">_xlfn.IFS(Table4[[#This Row],[Experience]]&lt;15, "7-15 YEARS",Table4[[#This Row],[Experience]]&lt;23, "15-23  YEARS",Table4[[#This Row],[Experience]]&lt;30, "23-30 YEARS",Table4[[#This Row],[Experience]]&gt;=30, "30+ YEARS")</f>
        <v>15-23  YEARS</v>
      </c>
      <c r="J434">
        <v>125131</v>
      </c>
      <c r="K434" s="5" t="str" cm="1">
        <f t="array" ref="K434">_xlfn.IFS(Table4[[#This Row],[Salary]]&lt;50000, "0-50K",Table4[[#This Row],[Salary]]&lt;100000, "50K-1L",Table4[[#This Row],[Salary]]&lt;150000, "1L-1.5L",Table4[[#This Row],[Salary]]&lt;200000, "1.5-2L",Table4[[#This Row],[Salary]]&gt;=200000, "2L+")</f>
        <v>1L-1.5L</v>
      </c>
    </row>
    <row r="435" spans="1:11" x14ac:dyDescent="0.3">
      <c r="A435">
        <v>433</v>
      </c>
      <c r="B435">
        <v>5880</v>
      </c>
      <c r="C435">
        <v>42</v>
      </c>
      <c r="D435" s="5" t="str" cm="1">
        <f t="array" ref="D435">_xlfn.IFS(C435&lt;30, "20-29",C435&lt;40, "30-39",C435&lt;50, "40-49",C435&lt;60, "50-59",Table4[[#This Row],[Age]]&gt;=60, "60+"  )</f>
        <v>40-49</v>
      </c>
      <c r="E435" t="s">
        <v>9</v>
      </c>
      <c r="F435" t="b">
        <v>0</v>
      </c>
      <c r="G435" s="1">
        <v>28684</v>
      </c>
      <c r="H435">
        <v>21</v>
      </c>
      <c r="I435" s="5" t="str" cm="1">
        <f t="array" ref="I435">_xlfn.IFS(Table4[[#This Row],[Experience]]&lt;15, "7-15 YEARS",Table4[[#This Row],[Experience]]&lt;23, "15-23  YEARS",Table4[[#This Row],[Experience]]&lt;30, "23-30 YEARS",Table4[[#This Row],[Experience]]&gt;=30, "30+ YEARS")</f>
        <v>15-23  YEARS</v>
      </c>
      <c r="J435">
        <v>164265</v>
      </c>
      <c r="K435" s="5" t="str" cm="1">
        <f t="array" ref="K435">_xlfn.IFS(Table4[[#This Row],[Salary]]&lt;50000, "0-50K",Table4[[#This Row],[Salary]]&lt;100000, "50K-1L",Table4[[#This Row],[Salary]]&lt;150000, "1L-1.5L",Table4[[#This Row],[Salary]]&lt;200000, "1.5-2L",Table4[[#This Row],[Salary]]&gt;=200000, "2L+")</f>
        <v>1.5-2L</v>
      </c>
    </row>
    <row r="436" spans="1:11" x14ac:dyDescent="0.3">
      <c r="A436">
        <v>434</v>
      </c>
      <c r="B436">
        <v>4796</v>
      </c>
      <c r="C436">
        <v>28</v>
      </c>
      <c r="D436" s="5" t="str" cm="1">
        <f t="array" ref="D436">_xlfn.IFS(C436&lt;30, "20-29",C436&lt;40, "30-39",C436&lt;50, "40-49",C436&lt;60, "50-59",Table4[[#This Row],[Age]]&gt;=60, "60+"  )</f>
        <v>20-29</v>
      </c>
      <c r="E436" t="s">
        <v>9</v>
      </c>
      <c r="F436" t="b">
        <v>0</v>
      </c>
      <c r="G436" s="1">
        <v>43273</v>
      </c>
      <c r="H436">
        <v>15</v>
      </c>
      <c r="I436" s="5" t="str" cm="1">
        <f t="array" ref="I436">_xlfn.IFS(Table4[[#This Row],[Experience]]&lt;15, "7-15 YEARS",Table4[[#This Row],[Experience]]&lt;23, "15-23  YEARS",Table4[[#This Row],[Experience]]&lt;30, "23-30 YEARS",Table4[[#This Row],[Experience]]&gt;=30, "30+ YEARS")</f>
        <v>15-23  YEARS</v>
      </c>
      <c r="J436">
        <v>109701</v>
      </c>
      <c r="K436" s="5" t="str" cm="1">
        <f t="array" ref="K436">_xlfn.IFS(Table4[[#This Row],[Salary]]&lt;50000, "0-50K",Table4[[#This Row],[Salary]]&lt;100000, "50K-1L",Table4[[#This Row],[Salary]]&lt;150000, "1L-1.5L",Table4[[#This Row],[Salary]]&lt;200000, "1.5-2L",Table4[[#This Row],[Salary]]&gt;=200000, "2L+")</f>
        <v>1L-1.5L</v>
      </c>
    </row>
    <row r="437" spans="1:11" x14ac:dyDescent="0.3">
      <c r="A437">
        <v>435</v>
      </c>
      <c r="B437">
        <v>7768</v>
      </c>
      <c r="C437">
        <v>53</v>
      </c>
      <c r="D437" s="5" t="str" cm="1">
        <f t="array" ref="D437">_xlfn.IFS(C437&lt;30, "20-29",C437&lt;40, "30-39",C437&lt;50, "40-49",C437&lt;60, "50-59",Table4[[#This Row],[Age]]&gt;=60, "60+"  )</f>
        <v>50-59</v>
      </c>
      <c r="E437" t="s">
        <v>9</v>
      </c>
      <c r="F437" t="b">
        <v>0</v>
      </c>
      <c r="G437" s="1">
        <v>36352</v>
      </c>
      <c r="H437">
        <v>29</v>
      </c>
      <c r="I437" s="5" t="str" cm="1">
        <f t="array" ref="I437">_xlfn.IFS(Table4[[#This Row],[Experience]]&lt;15, "7-15 YEARS",Table4[[#This Row],[Experience]]&lt;23, "15-23  YEARS",Table4[[#This Row],[Experience]]&lt;30, "23-30 YEARS",Table4[[#This Row],[Experience]]&gt;=30, "30+ YEARS")</f>
        <v>23-30 YEARS</v>
      </c>
      <c r="J437">
        <v>238477</v>
      </c>
      <c r="K437" s="5" t="str" cm="1">
        <f t="array" ref="K437">_xlfn.IFS(Table4[[#This Row],[Salary]]&lt;50000, "0-50K",Table4[[#This Row],[Salary]]&lt;100000, "50K-1L",Table4[[#This Row],[Salary]]&lt;150000, "1L-1.5L",Table4[[#This Row],[Salary]]&lt;200000, "1.5-2L",Table4[[#This Row],[Salary]]&gt;=200000, "2L+")</f>
        <v>2L+</v>
      </c>
    </row>
    <row r="438" spans="1:11" x14ac:dyDescent="0.3">
      <c r="A438">
        <v>436</v>
      </c>
      <c r="B438">
        <v>4407</v>
      </c>
      <c r="C438">
        <v>48</v>
      </c>
      <c r="D438" s="5" t="str" cm="1">
        <f t="array" ref="D438">_xlfn.IFS(C438&lt;30, "20-29",C438&lt;40, "30-39",C438&lt;50, "40-49",C438&lt;60, "50-59",Table4[[#This Row],[Age]]&gt;=60, "60+"  )</f>
        <v>40-49</v>
      </c>
      <c r="E438" t="s">
        <v>11</v>
      </c>
      <c r="F438" t="b">
        <v>0</v>
      </c>
      <c r="G438" s="1">
        <v>26090</v>
      </c>
      <c r="H438">
        <v>24</v>
      </c>
      <c r="I438" s="5" t="str" cm="1">
        <f t="array" ref="I438">_xlfn.IFS(Table4[[#This Row],[Experience]]&lt;15, "7-15 YEARS",Table4[[#This Row],[Experience]]&lt;23, "15-23  YEARS",Table4[[#This Row],[Experience]]&lt;30, "23-30 YEARS",Table4[[#This Row],[Experience]]&gt;=30, "30+ YEARS")</f>
        <v>23-30 YEARS</v>
      </c>
      <c r="J438">
        <v>193938</v>
      </c>
      <c r="K438" s="5" t="str" cm="1">
        <f t="array" ref="K438">_xlfn.IFS(Table4[[#This Row],[Salary]]&lt;50000, "0-50K",Table4[[#This Row],[Salary]]&lt;100000, "50K-1L",Table4[[#This Row],[Salary]]&lt;150000, "1L-1.5L",Table4[[#This Row],[Salary]]&lt;200000, "1.5-2L",Table4[[#This Row],[Salary]]&gt;=200000, "2L+")</f>
        <v>1.5-2L</v>
      </c>
    </row>
    <row r="439" spans="1:11" x14ac:dyDescent="0.3">
      <c r="A439">
        <v>437</v>
      </c>
      <c r="B439">
        <v>4747</v>
      </c>
      <c r="C439">
        <v>49</v>
      </c>
      <c r="D439" s="5" t="str" cm="1">
        <f t="array" ref="D439">_xlfn.IFS(C439&lt;30, "20-29",C439&lt;40, "30-39",C439&lt;50, "40-49",C439&lt;60, "50-59",Table4[[#This Row],[Age]]&gt;=60, "60+"  )</f>
        <v>40-49</v>
      </c>
      <c r="E439" t="s">
        <v>10</v>
      </c>
      <c r="F439" t="b">
        <v>0</v>
      </c>
      <c r="G439" s="1">
        <v>31380</v>
      </c>
      <c r="H439">
        <v>20</v>
      </c>
      <c r="I439" s="5" t="str" cm="1">
        <f t="array" ref="I439">_xlfn.IFS(Table4[[#This Row],[Experience]]&lt;15, "7-15 YEARS",Table4[[#This Row],[Experience]]&lt;23, "15-23  YEARS",Table4[[#This Row],[Experience]]&lt;30, "23-30 YEARS",Table4[[#This Row],[Experience]]&gt;=30, "30+ YEARS")</f>
        <v>15-23  YEARS</v>
      </c>
      <c r="J439">
        <v>156976</v>
      </c>
      <c r="K439" s="5" t="str" cm="1">
        <f t="array" ref="K439">_xlfn.IFS(Table4[[#This Row],[Salary]]&lt;50000, "0-50K",Table4[[#This Row],[Salary]]&lt;100000, "50K-1L",Table4[[#This Row],[Salary]]&lt;150000, "1L-1.5L",Table4[[#This Row],[Salary]]&lt;200000, "1.5-2L",Table4[[#This Row],[Salary]]&gt;=200000, "2L+")</f>
        <v>1.5-2L</v>
      </c>
    </row>
    <row r="440" spans="1:11" x14ac:dyDescent="0.3">
      <c r="A440">
        <v>438</v>
      </c>
      <c r="B440">
        <v>9893</v>
      </c>
      <c r="C440">
        <v>54</v>
      </c>
      <c r="D440" s="5" t="str" cm="1">
        <f t="array" ref="D440">_xlfn.IFS(C440&lt;30, "20-29",C440&lt;40, "30-39",C440&lt;50, "40-49",C440&lt;60, "50-59",Table4[[#This Row],[Age]]&gt;=60, "60+"  )</f>
        <v>50-59</v>
      </c>
      <c r="E440" t="s">
        <v>9</v>
      </c>
      <c r="F440" t="b">
        <v>0</v>
      </c>
      <c r="G440" s="1">
        <v>26556</v>
      </c>
      <c r="H440">
        <v>29</v>
      </c>
      <c r="I440" s="5" t="str" cm="1">
        <f t="array" ref="I440">_xlfn.IFS(Table4[[#This Row],[Experience]]&lt;15, "7-15 YEARS",Table4[[#This Row],[Experience]]&lt;23, "15-23  YEARS",Table4[[#This Row],[Experience]]&lt;30, "23-30 YEARS",Table4[[#This Row],[Experience]]&gt;=30, "30+ YEARS")</f>
        <v>23-30 YEARS</v>
      </c>
      <c r="J440">
        <v>229200</v>
      </c>
      <c r="K440" s="5" t="str" cm="1">
        <f t="array" ref="K440">_xlfn.IFS(Table4[[#This Row],[Salary]]&lt;50000, "0-50K",Table4[[#This Row],[Salary]]&lt;100000, "50K-1L",Table4[[#This Row],[Salary]]&lt;150000, "1L-1.5L",Table4[[#This Row],[Salary]]&lt;200000, "1.5-2L",Table4[[#This Row],[Salary]]&gt;=200000, "2L+")</f>
        <v>2L+</v>
      </c>
    </row>
    <row r="441" spans="1:11" x14ac:dyDescent="0.3">
      <c r="A441">
        <v>439</v>
      </c>
      <c r="B441">
        <v>1779</v>
      </c>
      <c r="C441">
        <v>47</v>
      </c>
      <c r="D441" s="5" t="str" cm="1">
        <f t="array" ref="D441">_xlfn.IFS(C441&lt;30, "20-29",C441&lt;40, "30-39",C441&lt;50, "40-49",C441&lt;60, "50-59",Table4[[#This Row],[Age]]&gt;=60, "60+"  )</f>
        <v>40-49</v>
      </c>
      <c r="E441" t="s">
        <v>9</v>
      </c>
      <c r="F441" t="b">
        <v>0</v>
      </c>
      <c r="G441" s="1">
        <v>34147</v>
      </c>
      <c r="H441">
        <v>24</v>
      </c>
      <c r="I441" s="5" t="str" cm="1">
        <f t="array" ref="I441">_xlfn.IFS(Table4[[#This Row],[Experience]]&lt;15, "7-15 YEARS",Table4[[#This Row],[Experience]]&lt;23, "15-23  YEARS",Table4[[#This Row],[Experience]]&lt;30, "23-30 YEARS",Table4[[#This Row],[Experience]]&gt;=30, "30+ YEARS")</f>
        <v>23-30 YEARS</v>
      </c>
      <c r="J441">
        <v>194985</v>
      </c>
      <c r="K441" s="5" t="str" cm="1">
        <f t="array" ref="K441">_xlfn.IFS(Table4[[#This Row],[Salary]]&lt;50000, "0-50K",Table4[[#This Row],[Salary]]&lt;100000, "50K-1L",Table4[[#This Row],[Salary]]&lt;150000, "1L-1.5L",Table4[[#This Row],[Salary]]&lt;200000, "1.5-2L",Table4[[#This Row],[Salary]]&gt;=200000, "2L+")</f>
        <v>1.5-2L</v>
      </c>
    </row>
    <row r="442" spans="1:11" x14ac:dyDescent="0.3">
      <c r="A442">
        <v>440</v>
      </c>
      <c r="B442">
        <v>3531</v>
      </c>
      <c r="C442">
        <v>40</v>
      </c>
      <c r="D442" s="5" t="str" cm="1">
        <f t="array" ref="D442">_xlfn.IFS(C442&lt;30, "20-29",C442&lt;40, "30-39",C442&lt;50, "40-49",C442&lt;60, "50-59",Table4[[#This Row],[Age]]&gt;=60, "60+"  )</f>
        <v>40-49</v>
      </c>
      <c r="E442" t="s">
        <v>11</v>
      </c>
      <c r="F442" t="b">
        <v>1</v>
      </c>
      <c r="G442" s="1">
        <v>26725</v>
      </c>
      <c r="H442">
        <v>19</v>
      </c>
      <c r="I442" s="5" t="str" cm="1">
        <f t="array" ref="I442">_xlfn.IFS(Table4[[#This Row],[Experience]]&lt;15, "7-15 YEARS",Table4[[#This Row],[Experience]]&lt;23, "15-23  YEARS",Table4[[#This Row],[Experience]]&lt;30, "23-30 YEARS",Table4[[#This Row],[Experience]]&gt;=30, "30+ YEARS")</f>
        <v>15-23  YEARS</v>
      </c>
      <c r="J442">
        <v>150665</v>
      </c>
      <c r="K442" s="5" t="str" cm="1">
        <f t="array" ref="K442">_xlfn.IFS(Table4[[#This Row],[Salary]]&lt;50000, "0-50K",Table4[[#This Row],[Salary]]&lt;100000, "50K-1L",Table4[[#This Row],[Salary]]&lt;150000, "1L-1.5L",Table4[[#This Row],[Salary]]&lt;200000, "1.5-2L",Table4[[#This Row],[Salary]]&gt;=200000, "2L+")</f>
        <v>1.5-2L</v>
      </c>
    </row>
    <row r="443" spans="1:11" x14ac:dyDescent="0.3">
      <c r="A443">
        <v>441</v>
      </c>
      <c r="B443">
        <v>9943</v>
      </c>
      <c r="C443">
        <v>45</v>
      </c>
      <c r="D443" s="5" t="str" cm="1">
        <f t="array" ref="D443">_xlfn.IFS(C443&lt;30, "20-29",C443&lt;40, "30-39",C443&lt;50, "40-49",C443&lt;60, "50-59",Table4[[#This Row],[Age]]&gt;=60, "60+"  )</f>
        <v>40-49</v>
      </c>
      <c r="E443" t="s">
        <v>10</v>
      </c>
      <c r="F443" t="b">
        <v>0</v>
      </c>
      <c r="G443" s="1">
        <v>30111</v>
      </c>
      <c r="H443">
        <v>22</v>
      </c>
      <c r="I443" s="5" t="str" cm="1">
        <f t="array" ref="I443">_xlfn.IFS(Table4[[#This Row],[Experience]]&lt;15, "7-15 YEARS",Table4[[#This Row],[Experience]]&lt;23, "15-23  YEARS",Table4[[#This Row],[Experience]]&lt;30, "23-30 YEARS",Table4[[#This Row],[Experience]]&gt;=30, "30+ YEARS")</f>
        <v>15-23  YEARS</v>
      </c>
      <c r="J443">
        <v>187991</v>
      </c>
      <c r="K443" s="5" t="str" cm="1">
        <f t="array" ref="K443">_xlfn.IFS(Table4[[#This Row],[Salary]]&lt;50000, "0-50K",Table4[[#This Row],[Salary]]&lt;100000, "50K-1L",Table4[[#This Row],[Salary]]&lt;150000, "1L-1.5L",Table4[[#This Row],[Salary]]&lt;200000, "1.5-2L",Table4[[#This Row],[Salary]]&gt;=200000, "2L+")</f>
        <v>1.5-2L</v>
      </c>
    </row>
    <row r="444" spans="1:11" x14ac:dyDescent="0.3">
      <c r="A444">
        <v>442</v>
      </c>
      <c r="B444">
        <v>6308</v>
      </c>
      <c r="C444">
        <v>55</v>
      </c>
      <c r="D444" s="5" t="str" cm="1">
        <f t="array" ref="D444">_xlfn.IFS(C444&lt;30, "20-29",C444&lt;40, "30-39",C444&lt;50, "40-49",C444&lt;60, "50-59",Table4[[#This Row],[Age]]&gt;=60, "60+"  )</f>
        <v>50-59</v>
      </c>
      <c r="E444" t="s">
        <v>10</v>
      </c>
      <c r="F444" t="b">
        <v>0</v>
      </c>
      <c r="G444" s="1">
        <v>41218</v>
      </c>
      <c r="H444">
        <v>26</v>
      </c>
      <c r="I444" s="5" t="str" cm="1">
        <f t="array" ref="I444">_xlfn.IFS(Table4[[#This Row],[Experience]]&lt;15, "7-15 YEARS",Table4[[#This Row],[Experience]]&lt;23, "15-23  YEARS",Table4[[#This Row],[Experience]]&lt;30, "23-30 YEARS",Table4[[#This Row],[Experience]]&gt;=30, "30+ YEARS")</f>
        <v>23-30 YEARS</v>
      </c>
      <c r="J444">
        <v>202446</v>
      </c>
      <c r="K444" s="5" t="str" cm="1">
        <f t="array" ref="K444">_xlfn.IFS(Table4[[#This Row],[Salary]]&lt;50000, "0-50K",Table4[[#This Row],[Salary]]&lt;100000, "50K-1L",Table4[[#This Row],[Salary]]&lt;150000, "1L-1.5L",Table4[[#This Row],[Salary]]&lt;200000, "1.5-2L",Table4[[#This Row],[Salary]]&gt;=200000, "2L+")</f>
        <v>2L+</v>
      </c>
    </row>
    <row r="445" spans="1:11" x14ac:dyDescent="0.3">
      <c r="A445">
        <v>443</v>
      </c>
      <c r="B445">
        <v>4784</v>
      </c>
      <c r="C445">
        <v>55</v>
      </c>
      <c r="D445" s="5" t="str" cm="1">
        <f t="array" ref="D445">_xlfn.IFS(C445&lt;30, "20-29",C445&lt;40, "30-39",C445&lt;50, "40-49",C445&lt;60, "50-59",Table4[[#This Row],[Age]]&gt;=60, "60+"  )</f>
        <v>50-59</v>
      </c>
      <c r="E445" t="s">
        <v>8</v>
      </c>
      <c r="F445" t="b">
        <v>1</v>
      </c>
      <c r="G445" s="1">
        <v>43451</v>
      </c>
      <c r="H445">
        <v>25</v>
      </c>
      <c r="I445" s="5" t="str" cm="1">
        <f t="array" ref="I445">_xlfn.IFS(Table4[[#This Row],[Experience]]&lt;15, "7-15 YEARS",Table4[[#This Row],[Experience]]&lt;23, "15-23  YEARS",Table4[[#This Row],[Experience]]&lt;30, "23-30 YEARS",Table4[[#This Row],[Experience]]&gt;=30, "30+ YEARS")</f>
        <v>23-30 YEARS</v>
      </c>
      <c r="J445">
        <v>203933</v>
      </c>
      <c r="K445" s="5" t="str" cm="1">
        <f t="array" ref="K445">_xlfn.IFS(Table4[[#This Row],[Salary]]&lt;50000, "0-50K",Table4[[#This Row],[Salary]]&lt;100000, "50K-1L",Table4[[#This Row],[Salary]]&lt;150000, "1L-1.5L",Table4[[#This Row],[Salary]]&lt;200000, "1.5-2L",Table4[[#This Row],[Salary]]&gt;=200000, "2L+")</f>
        <v>2L+</v>
      </c>
    </row>
    <row r="446" spans="1:11" x14ac:dyDescent="0.3">
      <c r="A446">
        <v>444</v>
      </c>
      <c r="B446">
        <v>8665</v>
      </c>
      <c r="C446">
        <v>59</v>
      </c>
      <c r="D446" s="5" t="str" cm="1">
        <f t="array" ref="D446">_xlfn.IFS(C446&lt;30, "20-29",C446&lt;40, "30-39",C446&lt;50, "40-49",C446&lt;60, "50-59",Table4[[#This Row],[Age]]&gt;=60, "60+"  )</f>
        <v>50-59</v>
      </c>
      <c r="E446" t="s">
        <v>9</v>
      </c>
      <c r="F446" t="b">
        <v>1</v>
      </c>
      <c r="G446" s="1">
        <v>36814</v>
      </c>
      <c r="H446">
        <v>29</v>
      </c>
      <c r="I446" s="5" t="str" cm="1">
        <f t="array" ref="I446">_xlfn.IFS(Table4[[#This Row],[Experience]]&lt;15, "7-15 YEARS",Table4[[#This Row],[Experience]]&lt;23, "15-23  YEARS",Table4[[#This Row],[Experience]]&lt;30, "23-30 YEARS",Table4[[#This Row],[Experience]]&gt;=30, "30+ YEARS")</f>
        <v>23-30 YEARS</v>
      </c>
      <c r="J446">
        <v>234277</v>
      </c>
      <c r="K446" s="5" t="str" cm="1">
        <f t="array" ref="K446">_xlfn.IFS(Table4[[#This Row],[Salary]]&lt;50000, "0-50K",Table4[[#This Row],[Salary]]&lt;100000, "50K-1L",Table4[[#This Row],[Salary]]&lt;150000, "1L-1.5L",Table4[[#This Row],[Salary]]&lt;200000, "1.5-2L",Table4[[#This Row],[Salary]]&gt;=200000, "2L+")</f>
        <v>2L+</v>
      </c>
    </row>
    <row r="447" spans="1:11" x14ac:dyDescent="0.3">
      <c r="A447">
        <v>445</v>
      </c>
      <c r="B447">
        <v>8492</v>
      </c>
      <c r="C447">
        <v>54</v>
      </c>
      <c r="D447" s="5" t="str" cm="1">
        <f t="array" ref="D447">_xlfn.IFS(C447&lt;30, "20-29",C447&lt;40, "30-39",C447&lt;50, "40-49",C447&lt;60, "50-59",Table4[[#This Row],[Age]]&gt;=60, "60+"  )</f>
        <v>50-59</v>
      </c>
      <c r="E447" t="s">
        <v>11</v>
      </c>
      <c r="F447" t="b">
        <v>1</v>
      </c>
      <c r="G447" s="1">
        <v>26443</v>
      </c>
      <c r="H447">
        <v>28</v>
      </c>
      <c r="I447" s="5" t="str" cm="1">
        <f t="array" ref="I447">_xlfn.IFS(Table4[[#This Row],[Experience]]&lt;15, "7-15 YEARS",Table4[[#This Row],[Experience]]&lt;23, "15-23  YEARS",Table4[[#This Row],[Experience]]&lt;30, "23-30 YEARS",Table4[[#This Row],[Experience]]&gt;=30, "30+ YEARS")</f>
        <v>23-30 YEARS</v>
      </c>
      <c r="J447">
        <v>225715</v>
      </c>
      <c r="K447" s="5" t="str" cm="1">
        <f t="array" ref="K447">_xlfn.IFS(Table4[[#This Row],[Salary]]&lt;50000, "0-50K",Table4[[#This Row],[Salary]]&lt;100000, "50K-1L",Table4[[#This Row],[Salary]]&lt;150000, "1L-1.5L",Table4[[#This Row],[Salary]]&lt;200000, "1.5-2L",Table4[[#This Row],[Salary]]&gt;=200000, "2L+")</f>
        <v>2L+</v>
      </c>
    </row>
    <row r="448" spans="1:11" x14ac:dyDescent="0.3">
      <c r="A448">
        <v>446</v>
      </c>
      <c r="B448">
        <v>2639</v>
      </c>
      <c r="C448">
        <v>24</v>
      </c>
      <c r="D448" s="5" t="str" cm="1">
        <f t="array" ref="D448">_xlfn.IFS(C448&lt;30, "20-29",C448&lt;40, "30-39",C448&lt;50, "40-49",C448&lt;60, "50-59",Table4[[#This Row],[Age]]&gt;=60, "60+"  )</f>
        <v>20-29</v>
      </c>
      <c r="E448" t="s">
        <v>11</v>
      </c>
      <c r="F448" t="b">
        <v>0</v>
      </c>
      <c r="G448" s="1">
        <v>35453</v>
      </c>
      <c r="H448">
        <v>10</v>
      </c>
      <c r="I448" s="5" t="str" cm="1">
        <f t="array" ref="I448">_xlfn.IFS(Table4[[#This Row],[Experience]]&lt;15, "7-15 YEARS",Table4[[#This Row],[Experience]]&lt;23, "15-23  YEARS",Table4[[#This Row],[Experience]]&lt;30, "23-30 YEARS",Table4[[#This Row],[Experience]]&gt;=30, "30+ YEARS")</f>
        <v>7-15 YEARS</v>
      </c>
      <c r="J448">
        <v>75812</v>
      </c>
      <c r="K448" s="5" t="str" cm="1">
        <f t="array" ref="K448">_xlfn.IFS(Table4[[#This Row],[Salary]]&lt;50000, "0-50K",Table4[[#This Row],[Salary]]&lt;100000, "50K-1L",Table4[[#This Row],[Salary]]&lt;150000, "1L-1.5L",Table4[[#This Row],[Salary]]&lt;200000, "1.5-2L",Table4[[#This Row],[Salary]]&gt;=200000, "2L+")</f>
        <v>50K-1L</v>
      </c>
    </row>
    <row r="449" spans="1:11" x14ac:dyDescent="0.3">
      <c r="A449">
        <v>447</v>
      </c>
      <c r="B449">
        <v>3328</v>
      </c>
      <c r="C449">
        <v>24</v>
      </c>
      <c r="D449" s="5" t="str" cm="1">
        <f t="array" ref="D449">_xlfn.IFS(C449&lt;30, "20-29",C449&lt;40, "30-39",C449&lt;50, "40-49",C449&lt;60, "50-59",Table4[[#This Row],[Age]]&gt;=60, "60+"  )</f>
        <v>20-29</v>
      </c>
      <c r="E449" t="s">
        <v>9</v>
      </c>
      <c r="F449" t="b">
        <v>1</v>
      </c>
      <c r="G449" s="1">
        <v>32021</v>
      </c>
      <c r="H449">
        <v>8</v>
      </c>
      <c r="I449" s="5" t="str" cm="1">
        <f t="array" ref="I449">_xlfn.IFS(Table4[[#This Row],[Experience]]&lt;15, "7-15 YEARS",Table4[[#This Row],[Experience]]&lt;23, "15-23  YEARS",Table4[[#This Row],[Experience]]&lt;30, "23-30 YEARS",Table4[[#This Row],[Experience]]&gt;=30, "30+ YEARS")</f>
        <v>7-15 YEARS</v>
      </c>
      <c r="J449">
        <v>68134</v>
      </c>
      <c r="K449" s="5" t="str" cm="1">
        <f t="array" ref="K449">_xlfn.IFS(Table4[[#This Row],[Salary]]&lt;50000, "0-50K",Table4[[#This Row],[Salary]]&lt;100000, "50K-1L",Table4[[#This Row],[Salary]]&lt;150000, "1L-1.5L",Table4[[#This Row],[Salary]]&lt;200000, "1.5-2L",Table4[[#This Row],[Salary]]&gt;=200000, "2L+")</f>
        <v>50K-1L</v>
      </c>
    </row>
    <row r="450" spans="1:11" x14ac:dyDescent="0.3">
      <c r="A450">
        <v>448</v>
      </c>
      <c r="B450">
        <v>3255</v>
      </c>
      <c r="C450">
        <v>48</v>
      </c>
      <c r="D450" s="5" t="str" cm="1">
        <f t="array" ref="D450">_xlfn.IFS(C450&lt;30, "20-29",C450&lt;40, "30-39",C450&lt;50, "40-49",C450&lt;60, "50-59",Table4[[#This Row],[Age]]&gt;=60, "60+"  )</f>
        <v>40-49</v>
      </c>
      <c r="E450" t="s">
        <v>8</v>
      </c>
      <c r="F450" t="b">
        <v>0</v>
      </c>
      <c r="G450" s="1">
        <v>35729</v>
      </c>
      <c r="H450">
        <v>20</v>
      </c>
      <c r="I450" s="5" t="str" cm="1">
        <f t="array" ref="I450">_xlfn.IFS(Table4[[#This Row],[Experience]]&lt;15, "7-15 YEARS",Table4[[#This Row],[Experience]]&lt;23, "15-23  YEARS",Table4[[#This Row],[Experience]]&lt;30, "23-30 YEARS",Table4[[#This Row],[Experience]]&gt;=30, "30+ YEARS")</f>
        <v>15-23  YEARS</v>
      </c>
      <c r="J450">
        <v>155985</v>
      </c>
      <c r="K450" s="5" t="str" cm="1">
        <f t="array" ref="K450">_xlfn.IFS(Table4[[#This Row],[Salary]]&lt;50000, "0-50K",Table4[[#This Row],[Salary]]&lt;100000, "50K-1L",Table4[[#This Row],[Salary]]&lt;150000, "1L-1.5L",Table4[[#This Row],[Salary]]&lt;200000, "1.5-2L",Table4[[#This Row],[Salary]]&gt;=200000, "2L+")</f>
        <v>1.5-2L</v>
      </c>
    </row>
    <row r="451" spans="1:11" x14ac:dyDescent="0.3">
      <c r="A451">
        <v>449</v>
      </c>
      <c r="B451">
        <v>4651</v>
      </c>
      <c r="C451">
        <v>50</v>
      </c>
      <c r="D451" s="5" t="str" cm="1">
        <f t="array" ref="D451">_xlfn.IFS(C451&lt;30, "20-29",C451&lt;40, "30-39",C451&lt;50, "40-49",C451&lt;60, "50-59",Table4[[#This Row],[Age]]&gt;=60, "60+"  )</f>
        <v>50-59</v>
      </c>
      <c r="E451" t="s">
        <v>8</v>
      </c>
      <c r="F451" t="b">
        <v>1</v>
      </c>
      <c r="G451" s="1">
        <v>37779</v>
      </c>
      <c r="H451">
        <v>27</v>
      </c>
      <c r="I451" s="5" t="str" cm="1">
        <f t="array" ref="I451">_xlfn.IFS(Table4[[#This Row],[Experience]]&lt;15, "7-15 YEARS",Table4[[#This Row],[Experience]]&lt;23, "15-23  YEARS",Table4[[#This Row],[Experience]]&lt;30, "23-30 YEARS",Table4[[#This Row],[Experience]]&gt;=30, "30+ YEARS")</f>
        <v>23-30 YEARS</v>
      </c>
      <c r="J451">
        <v>222685</v>
      </c>
      <c r="K451" s="5" t="str" cm="1">
        <f t="array" ref="K451">_xlfn.IFS(Table4[[#This Row],[Salary]]&lt;50000, "0-50K",Table4[[#This Row],[Salary]]&lt;100000, "50K-1L",Table4[[#This Row],[Salary]]&lt;150000, "1L-1.5L",Table4[[#This Row],[Salary]]&lt;200000, "1.5-2L",Table4[[#This Row],[Salary]]&gt;=200000, "2L+")</f>
        <v>2L+</v>
      </c>
    </row>
    <row r="452" spans="1:11" x14ac:dyDescent="0.3">
      <c r="A452">
        <v>450</v>
      </c>
      <c r="B452">
        <v>6391</v>
      </c>
      <c r="C452">
        <v>49</v>
      </c>
      <c r="D452" s="5" t="str" cm="1">
        <f t="array" ref="D452">_xlfn.IFS(C452&lt;30, "20-29",C452&lt;40, "30-39",C452&lt;50, "40-49",C452&lt;60, "50-59",Table4[[#This Row],[Age]]&gt;=60, "60+"  )</f>
        <v>40-49</v>
      </c>
      <c r="E452" t="s">
        <v>9</v>
      </c>
      <c r="F452" t="b">
        <v>0</v>
      </c>
      <c r="G452" s="1">
        <v>38217</v>
      </c>
      <c r="H452">
        <v>28</v>
      </c>
      <c r="I452" s="5" t="str" cm="1">
        <f t="array" ref="I452">_xlfn.IFS(Table4[[#This Row],[Experience]]&lt;15, "7-15 YEARS",Table4[[#This Row],[Experience]]&lt;23, "15-23  YEARS",Table4[[#This Row],[Experience]]&lt;30, "23-30 YEARS",Table4[[#This Row],[Experience]]&gt;=30, "30+ YEARS")</f>
        <v>23-30 YEARS</v>
      </c>
      <c r="J452">
        <v>220500</v>
      </c>
      <c r="K452" s="5" t="str" cm="1">
        <f t="array" ref="K452">_xlfn.IFS(Table4[[#This Row],[Salary]]&lt;50000, "0-50K",Table4[[#This Row],[Salary]]&lt;100000, "50K-1L",Table4[[#This Row],[Salary]]&lt;150000, "1L-1.5L",Table4[[#This Row],[Salary]]&lt;200000, "1.5-2L",Table4[[#This Row],[Salary]]&gt;=200000, "2L+")</f>
        <v>2L+</v>
      </c>
    </row>
    <row r="453" spans="1:11" x14ac:dyDescent="0.3">
      <c r="A453">
        <v>451</v>
      </c>
      <c r="B453">
        <v>9655</v>
      </c>
      <c r="C453">
        <v>31</v>
      </c>
      <c r="D453" s="5" t="str" cm="1">
        <f t="array" ref="D453">_xlfn.IFS(C453&lt;30, "20-29",C453&lt;40, "30-39",C453&lt;50, "40-49",C453&lt;60, "50-59",Table4[[#This Row],[Age]]&gt;=60, "60+"  )</f>
        <v>30-39</v>
      </c>
      <c r="E453" t="s">
        <v>8</v>
      </c>
      <c r="F453" t="b">
        <v>1</v>
      </c>
      <c r="G453" s="1">
        <v>39247</v>
      </c>
      <c r="H453">
        <v>15</v>
      </c>
      <c r="I453" s="5" t="str" cm="1">
        <f t="array" ref="I453">_xlfn.IFS(Table4[[#This Row],[Experience]]&lt;15, "7-15 YEARS",Table4[[#This Row],[Experience]]&lt;23, "15-23  YEARS",Table4[[#This Row],[Experience]]&lt;30, "23-30 YEARS",Table4[[#This Row],[Experience]]&gt;=30, "30+ YEARS")</f>
        <v>15-23  YEARS</v>
      </c>
      <c r="J453">
        <v>126388</v>
      </c>
      <c r="K453" s="5" t="str" cm="1">
        <f t="array" ref="K453">_xlfn.IFS(Table4[[#This Row],[Salary]]&lt;50000, "0-50K",Table4[[#This Row],[Salary]]&lt;100000, "50K-1L",Table4[[#This Row],[Salary]]&lt;150000, "1L-1.5L",Table4[[#This Row],[Salary]]&lt;200000, "1.5-2L",Table4[[#This Row],[Salary]]&gt;=200000, "2L+")</f>
        <v>1L-1.5L</v>
      </c>
    </row>
    <row r="454" spans="1:11" x14ac:dyDescent="0.3">
      <c r="A454">
        <v>452</v>
      </c>
      <c r="B454">
        <v>6856</v>
      </c>
      <c r="C454">
        <v>37</v>
      </c>
      <c r="D454" s="5" t="str" cm="1">
        <f t="array" ref="D454">_xlfn.IFS(C454&lt;30, "20-29",C454&lt;40, "30-39",C454&lt;50, "40-49",C454&lt;60, "50-59",Table4[[#This Row],[Age]]&gt;=60, "60+"  )</f>
        <v>30-39</v>
      </c>
      <c r="E454" t="s">
        <v>9</v>
      </c>
      <c r="F454" t="b">
        <v>1</v>
      </c>
      <c r="G454" s="1">
        <v>39761</v>
      </c>
      <c r="H454">
        <v>21</v>
      </c>
      <c r="I454" s="5" t="str" cm="1">
        <f t="array" ref="I454">_xlfn.IFS(Table4[[#This Row],[Experience]]&lt;15, "7-15 YEARS",Table4[[#This Row],[Experience]]&lt;23, "15-23  YEARS",Table4[[#This Row],[Experience]]&lt;30, "23-30 YEARS",Table4[[#This Row],[Experience]]&gt;=30, "30+ YEARS")</f>
        <v>15-23  YEARS</v>
      </c>
      <c r="J454">
        <v>169212</v>
      </c>
      <c r="K454" s="5" t="str" cm="1">
        <f t="array" ref="K454">_xlfn.IFS(Table4[[#This Row],[Salary]]&lt;50000, "0-50K",Table4[[#This Row],[Salary]]&lt;100000, "50K-1L",Table4[[#This Row],[Salary]]&lt;150000, "1L-1.5L",Table4[[#This Row],[Salary]]&lt;200000, "1.5-2L",Table4[[#This Row],[Salary]]&gt;=200000, "2L+")</f>
        <v>1.5-2L</v>
      </c>
    </row>
    <row r="455" spans="1:11" x14ac:dyDescent="0.3">
      <c r="A455">
        <v>453</v>
      </c>
      <c r="B455">
        <v>7141</v>
      </c>
      <c r="C455">
        <v>45</v>
      </c>
      <c r="D455" s="5" t="str" cm="1">
        <f t="array" ref="D455">_xlfn.IFS(C455&lt;30, "20-29",C455&lt;40, "30-39",C455&lt;50, "40-49",C455&lt;60, "50-59",Table4[[#This Row],[Age]]&gt;=60, "60+"  )</f>
        <v>40-49</v>
      </c>
      <c r="E455" t="s">
        <v>11</v>
      </c>
      <c r="F455" t="b">
        <v>1</v>
      </c>
      <c r="G455" s="1">
        <v>38945</v>
      </c>
      <c r="H455">
        <v>24</v>
      </c>
      <c r="I455" s="5" t="str" cm="1">
        <f t="array" ref="I455">_xlfn.IFS(Table4[[#This Row],[Experience]]&lt;15, "7-15 YEARS",Table4[[#This Row],[Experience]]&lt;23, "15-23  YEARS",Table4[[#This Row],[Experience]]&lt;30, "23-30 YEARS",Table4[[#This Row],[Experience]]&gt;=30, "30+ YEARS")</f>
        <v>23-30 YEARS</v>
      </c>
      <c r="J455">
        <v>186015</v>
      </c>
      <c r="K455" s="5" t="str" cm="1">
        <f t="array" ref="K455">_xlfn.IFS(Table4[[#This Row],[Salary]]&lt;50000, "0-50K",Table4[[#This Row],[Salary]]&lt;100000, "50K-1L",Table4[[#This Row],[Salary]]&lt;150000, "1L-1.5L",Table4[[#This Row],[Salary]]&lt;200000, "1.5-2L",Table4[[#This Row],[Salary]]&gt;=200000, "2L+")</f>
        <v>1.5-2L</v>
      </c>
    </row>
    <row r="456" spans="1:11" x14ac:dyDescent="0.3">
      <c r="A456">
        <v>454</v>
      </c>
      <c r="B456">
        <v>2259</v>
      </c>
      <c r="C456">
        <v>52</v>
      </c>
      <c r="D456" s="5" t="str" cm="1">
        <f t="array" ref="D456">_xlfn.IFS(C456&lt;30, "20-29",C456&lt;40, "30-39",C456&lt;50, "40-49",C456&lt;60, "50-59",Table4[[#This Row],[Age]]&gt;=60, "60+"  )</f>
        <v>50-59</v>
      </c>
      <c r="E456" t="s">
        <v>8</v>
      </c>
      <c r="F456" t="b">
        <v>1</v>
      </c>
      <c r="G456" s="1">
        <v>44622</v>
      </c>
      <c r="H456">
        <v>27</v>
      </c>
      <c r="I456" s="5" t="str" cm="1">
        <f t="array" ref="I456">_xlfn.IFS(Table4[[#This Row],[Experience]]&lt;15, "7-15 YEARS",Table4[[#This Row],[Experience]]&lt;23, "15-23  YEARS",Table4[[#This Row],[Experience]]&lt;30, "23-30 YEARS",Table4[[#This Row],[Experience]]&gt;=30, "30+ YEARS")</f>
        <v>23-30 YEARS</v>
      </c>
      <c r="J456">
        <v>217544</v>
      </c>
      <c r="K456" s="5" t="str" cm="1">
        <f t="array" ref="K456">_xlfn.IFS(Table4[[#This Row],[Salary]]&lt;50000, "0-50K",Table4[[#This Row],[Salary]]&lt;100000, "50K-1L",Table4[[#This Row],[Salary]]&lt;150000, "1L-1.5L",Table4[[#This Row],[Salary]]&lt;200000, "1.5-2L",Table4[[#This Row],[Salary]]&gt;=200000, "2L+")</f>
        <v>2L+</v>
      </c>
    </row>
    <row r="457" spans="1:11" x14ac:dyDescent="0.3">
      <c r="A457">
        <v>455</v>
      </c>
      <c r="B457">
        <v>5518</v>
      </c>
      <c r="C457">
        <v>33</v>
      </c>
      <c r="D457" s="5" t="str" cm="1">
        <f t="array" ref="D457">_xlfn.IFS(C457&lt;30, "20-29",C457&lt;40, "30-39",C457&lt;50, "40-49",C457&lt;60, "50-59",Table4[[#This Row],[Age]]&gt;=60, "60+"  )</f>
        <v>30-39</v>
      </c>
      <c r="E457" t="s">
        <v>10</v>
      </c>
      <c r="F457" t="b">
        <v>1</v>
      </c>
      <c r="G457" s="1">
        <v>44267</v>
      </c>
      <c r="H457">
        <v>17</v>
      </c>
      <c r="I457" s="5" t="str" cm="1">
        <f t="array" ref="I457">_xlfn.IFS(Table4[[#This Row],[Experience]]&lt;15, "7-15 YEARS",Table4[[#This Row],[Experience]]&lt;23, "15-23  YEARS",Table4[[#This Row],[Experience]]&lt;30, "23-30 YEARS",Table4[[#This Row],[Experience]]&gt;=30, "30+ YEARS")</f>
        <v>15-23  YEARS</v>
      </c>
      <c r="J457">
        <v>128767</v>
      </c>
      <c r="K457" s="5" t="str" cm="1">
        <f t="array" ref="K457">_xlfn.IFS(Table4[[#This Row],[Salary]]&lt;50000, "0-50K",Table4[[#This Row],[Salary]]&lt;100000, "50K-1L",Table4[[#This Row],[Salary]]&lt;150000, "1L-1.5L",Table4[[#This Row],[Salary]]&lt;200000, "1.5-2L",Table4[[#This Row],[Salary]]&gt;=200000, "2L+")</f>
        <v>1L-1.5L</v>
      </c>
    </row>
    <row r="458" spans="1:11" x14ac:dyDescent="0.3">
      <c r="A458">
        <v>456</v>
      </c>
      <c r="B458">
        <v>5641</v>
      </c>
      <c r="C458">
        <v>60</v>
      </c>
      <c r="D458" s="5" t="str" cm="1">
        <f t="array" ref="D458">_xlfn.IFS(C458&lt;30, "20-29",C458&lt;40, "30-39",C458&lt;50, "40-49",C458&lt;60, "50-59",Table4[[#This Row],[Age]]&gt;=60, "60+"  )</f>
        <v>60+</v>
      </c>
      <c r="E458" t="s">
        <v>10</v>
      </c>
      <c r="F458" t="b">
        <v>0</v>
      </c>
      <c r="G458" s="1">
        <v>40770</v>
      </c>
      <c r="H458">
        <v>27</v>
      </c>
      <c r="I458" s="5" t="str" cm="1">
        <f t="array" ref="I458">_xlfn.IFS(Table4[[#This Row],[Experience]]&lt;15, "7-15 YEARS",Table4[[#This Row],[Experience]]&lt;23, "15-23  YEARS",Table4[[#This Row],[Experience]]&lt;30, "23-30 YEARS",Table4[[#This Row],[Experience]]&gt;=30, "30+ YEARS")</f>
        <v>23-30 YEARS</v>
      </c>
      <c r="J458">
        <v>216812</v>
      </c>
      <c r="K458" s="5" t="str" cm="1">
        <f t="array" ref="K458">_xlfn.IFS(Table4[[#This Row],[Salary]]&lt;50000, "0-50K",Table4[[#This Row],[Salary]]&lt;100000, "50K-1L",Table4[[#This Row],[Salary]]&lt;150000, "1L-1.5L",Table4[[#This Row],[Salary]]&lt;200000, "1.5-2L",Table4[[#This Row],[Salary]]&gt;=200000, "2L+")</f>
        <v>2L+</v>
      </c>
    </row>
    <row r="459" spans="1:11" x14ac:dyDescent="0.3">
      <c r="A459">
        <v>457</v>
      </c>
      <c r="B459">
        <v>8734</v>
      </c>
      <c r="C459">
        <v>50</v>
      </c>
      <c r="D459" s="5" t="str" cm="1">
        <f t="array" ref="D459">_xlfn.IFS(C459&lt;30, "20-29",C459&lt;40, "30-39",C459&lt;50, "40-49",C459&lt;60, "50-59",Table4[[#This Row],[Age]]&gt;=60, "60+"  )</f>
        <v>50-59</v>
      </c>
      <c r="E459" t="s">
        <v>11</v>
      </c>
      <c r="F459" t="b">
        <v>0</v>
      </c>
      <c r="G459" s="1">
        <v>45227</v>
      </c>
      <c r="H459">
        <v>21</v>
      </c>
      <c r="I459" s="5" t="str" cm="1">
        <f t="array" ref="I459">_xlfn.IFS(Table4[[#This Row],[Experience]]&lt;15, "7-15 YEARS",Table4[[#This Row],[Experience]]&lt;23, "15-23  YEARS",Table4[[#This Row],[Experience]]&lt;30, "23-30 YEARS",Table4[[#This Row],[Experience]]&gt;=30, "30+ YEARS")</f>
        <v>15-23  YEARS</v>
      </c>
      <c r="J459">
        <v>174984</v>
      </c>
      <c r="K459" s="5" t="str" cm="1">
        <f t="array" ref="K459">_xlfn.IFS(Table4[[#This Row],[Salary]]&lt;50000, "0-50K",Table4[[#This Row],[Salary]]&lt;100000, "50K-1L",Table4[[#This Row],[Salary]]&lt;150000, "1L-1.5L",Table4[[#This Row],[Salary]]&lt;200000, "1.5-2L",Table4[[#This Row],[Salary]]&gt;=200000, "2L+")</f>
        <v>1.5-2L</v>
      </c>
    </row>
    <row r="460" spans="1:11" x14ac:dyDescent="0.3">
      <c r="A460">
        <v>458</v>
      </c>
      <c r="B460">
        <v>7473</v>
      </c>
      <c r="C460">
        <v>49</v>
      </c>
      <c r="D460" s="5" t="str" cm="1">
        <f t="array" ref="D460">_xlfn.IFS(C460&lt;30, "20-29",C460&lt;40, "30-39",C460&lt;50, "40-49",C460&lt;60, "50-59",Table4[[#This Row],[Age]]&gt;=60, "60+"  )</f>
        <v>40-49</v>
      </c>
      <c r="E460" t="s">
        <v>9</v>
      </c>
      <c r="F460" t="b">
        <v>1</v>
      </c>
      <c r="G460" s="1">
        <v>26908</v>
      </c>
      <c r="H460">
        <v>24</v>
      </c>
      <c r="I460" s="5" t="str" cm="1">
        <f t="array" ref="I460">_xlfn.IFS(Table4[[#This Row],[Experience]]&lt;15, "7-15 YEARS",Table4[[#This Row],[Experience]]&lt;23, "15-23  YEARS",Table4[[#This Row],[Experience]]&lt;30, "23-30 YEARS",Table4[[#This Row],[Experience]]&gt;=30, "30+ YEARS")</f>
        <v>23-30 YEARS</v>
      </c>
      <c r="J460">
        <v>192274</v>
      </c>
      <c r="K460" s="5" t="str" cm="1">
        <f t="array" ref="K460">_xlfn.IFS(Table4[[#This Row],[Salary]]&lt;50000, "0-50K",Table4[[#This Row],[Salary]]&lt;100000, "50K-1L",Table4[[#This Row],[Salary]]&lt;150000, "1L-1.5L",Table4[[#This Row],[Salary]]&lt;200000, "1.5-2L",Table4[[#This Row],[Salary]]&gt;=200000, "2L+")</f>
        <v>1.5-2L</v>
      </c>
    </row>
    <row r="461" spans="1:11" x14ac:dyDescent="0.3">
      <c r="A461">
        <v>459</v>
      </c>
      <c r="B461">
        <v>8293</v>
      </c>
      <c r="C461">
        <v>52</v>
      </c>
      <c r="D461" s="5" t="str" cm="1">
        <f t="array" ref="D461">_xlfn.IFS(C461&lt;30, "20-29",C461&lt;40, "30-39",C461&lt;50, "40-49",C461&lt;60, "50-59",Table4[[#This Row],[Age]]&gt;=60, "60+"  )</f>
        <v>50-59</v>
      </c>
      <c r="E461" t="s">
        <v>12</v>
      </c>
      <c r="F461" t="b">
        <v>1</v>
      </c>
      <c r="G461" s="1">
        <v>44236</v>
      </c>
      <c r="H461">
        <v>28</v>
      </c>
      <c r="I461" s="5" t="str" cm="1">
        <f t="array" ref="I461">_xlfn.IFS(Table4[[#This Row],[Experience]]&lt;15, "7-15 YEARS",Table4[[#This Row],[Experience]]&lt;23, "15-23  YEARS",Table4[[#This Row],[Experience]]&lt;30, "23-30 YEARS",Table4[[#This Row],[Experience]]&gt;=30, "30+ YEARS")</f>
        <v>23-30 YEARS</v>
      </c>
      <c r="J461">
        <v>216683</v>
      </c>
      <c r="K461" s="5" t="str" cm="1">
        <f t="array" ref="K461">_xlfn.IFS(Table4[[#This Row],[Salary]]&lt;50000, "0-50K",Table4[[#This Row],[Salary]]&lt;100000, "50K-1L",Table4[[#This Row],[Salary]]&lt;150000, "1L-1.5L",Table4[[#This Row],[Salary]]&lt;200000, "1.5-2L",Table4[[#This Row],[Salary]]&gt;=200000, "2L+")</f>
        <v>2L+</v>
      </c>
    </row>
    <row r="462" spans="1:11" x14ac:dyDescent="0.3">
      <c r="A462">
        <v>460</v>
      </c>
      <c r="B462">
        <v>1014</v>
      </c>
      <c r="C462">
        <v>51</v>
      </c>
      <c r="D462" s="5" t="str" cm="1">
        <f t="array" ref="D462">_xlfn.IFS(C462&lt;30, "20-29",C462&lt;40, "30-39",C462&lt;50, "40-49",C462&lt;60, "50-59",Table4[[#This Row],[Age]]&gt;=60, "60+"  )</f>
        <v>50-59</v>
      </c>
      <c r="E462" t="s">
        <v>11</v>
      </c>
      <c r="F462" t="b">
        <v>0</v>
      </c>
      <c r="G462" s="1">
        <v>30822</v>
      </c>
      <c r="H462">
        <v>22</v>
      </c>
      <c r="I462" s="5" t="str" cm="1">
        <f t="array" ref="I462">_xlfn.IFS(Table4[[#This Row],[Experience]]&lt;15, "7-15 YEARS",Table4[[#This Row],[Experience]]&lt;23, "15-23  YEARS",Table4[[#This Row],[Experience]]&lt;30, "23-30 YEARS",Table4[[#This Row],[Experience]]&gt;=30, "30+ YEARS")</f>
        <v>15-23  YEARS</v>
      </c>
      <c r="J462">
        <v>184887</v>
      </c>
      <c r="K462" s="5" t="str" cm="1">
        <f t="array" ref="K462">_xlfn.IFS(Table4[[#This Row],[Salary]]&lt;50000, "0-50K",Table4[[#This Row],[Salary]]&lt;100000, "50K-1L",Table4[[#This Row],[Salary]]&lt;150000, "1L-1.5L",Table4[[#This Row],[Salary]]&lt;200000, "1.5-2L",Table4[[#This Row],[Salary]]&gt;=200000, "2L+")</f>
        <v>1.5-2L</v>
      </c>
    </row>
    <row r="463" spans="1:11" x14ac:dyDescent="0.3">
      <c r="A463">
        <v>461</v>
      </c>
      <c r="B463">
        <v>4824</v>
      </c>
      <c r="C463">
        <v>42</v>
      </c>
      <c r="D463" s="5" t="str" cm="1">
        <f t="array" ref="D463">_xlfn.IFS(C463&lt;30, "20-29",C463&lt;40, "30-39",C463&lt;50, "40-49",C463&lt;60, "50-59",Table4[[#This Row],[Age]]&gt;=60, "60+"  )</f>
        <v>40-49</v>
      </c>
      <c r="E463" t="s">
        <v>9</v>
      </c>
      <c r="F463" t="b">
        <v>1</v>
      </c>
      <c r="G463" s="1">
        <v>35023</v>
      </c>
      <c r="H463">
        <v>21</v>
      </c>
      <c r="I463" s="5" t="str" cm="1">
        <f t="array" ref="I463">_xlfn.IFS(Table4[[#This Row],[Experience]]&lt;15, "7-15 YEARS",Table4[[#This Row],[Experience]]&lt;23, "15-23  YEARS",Table4[[#This Row],[Experience]]&lt;30, "23-30 YEARS",Table4[[#This Row],[Experience]]&gt;=30, "30+ YEARS")</f>
        <v>15-23  YEARS</v>
      </c>
      <c r="J463">
        <v>160580</v>
      </c>
      <c r="K463" s="5" t="str" cm="1">
        <f t="array" ref="K463">_xlfn.IFS(Table4[[#This Row],[Salary]]&lt;50000, "0-50K",Table4[[#This Row],[Salary]]&lt;100000, "50K-1L",Table4[[#This Row],[Salary]]&lt;150000, "1L-1.5L",Table4[[#This Row],[Salary]]&lt;200000, "1.5-2L",Table4[[#This Row],[Salary]]&gt;=200000, "2L+")</f>
        <v>1.5-2L</v>
      </c>
    </row>
    <row r="464" spans="1:11" x14ac:dyDescent="0.3">
      <c r="A464">
        <v>462</v>
      </c>
      <c r="B464">
        <v>8260</v>
      </c>
      <c r="C464">
        <v>55</v>
      </c>
      <c r="D464" s="5" t="str" cm="1">
        <f t="array" ref="D464">_xlfn.IFS(C464&lt;30, "20-29",C464&lt;40, "30-39",C464&lt;50, "40-49",C464&lt;60, "50-59",Table4[[#This Row],[Age]]&gt;=60, "60+"  )</f>
        <v>50-59</v>
      </c>
      <c r="E464" t="s">
        <v>10</v>
      </c>
      <c r="F464" t="b">
        <v>0</v>
      </c>
      <c r="G464" s="1">
        <v>36030</v>
      </c>
      <c r="H464">
        <v>30</v>
      </c>
      <c r="I464" s="5" t="str" cm="1">
        <f t="array" ref="I464">_xlfn.IFS(Table4[[#This Row],[Experience]]&lt;15, "7-15 YEARS",Table4[[#This Row],[Experience]]&lt;23, "15-23  YEARS",Table4[[#This Row],[Experience]]&lt;30, "23-30 YEARS",Table4[[#This Row],[Experience]]&gt;=30, "30+ YEARS")</f>
        <v>30+ YEARS</v>
      </c>
      <c r="J464">
        <v>245031</v>
      </c>
      <c r="K464" s="5" t="str" cm="1">
        <f t="array" ref="K464">_xlfn.IFS(Table4[[#This Row],[Salary]]&lt;50000, "0-50K",Table4[[#This Row],[Salary]]&lt;100000, "50K-1L",Table4[[#This Row],[Salary]]&lt;150000, "1L-1.5L",Table4[[#This Row],[Salary]]&lt;200000, "1.5-2L",Table4[[#This Row],[Salary]]&gt;=200000, "2L+")</f>
        <v>2L+</v>
      </c>
    </row>
    <row r="465" spans="1:11" x14ac:dyDescent="0.3">
      <c r="A465">
        <v>463</v>
      </c>
      <c r="B465">
        <v>8101</v>
      </c>
      <c r="C465">
        <v>52</v>
      </c>
      <c r="D465" s="5" t="str" cm="1">
        <f t="array" ref="D465">_xlfn.IFS(C465&lt;30, "20-29",C465&lt;40, "30-39",C465&lt;50, "40-49",C465&lt;60, "50-59",Table4[[#This Row],[Age]]&gt;=60, "60+"  )</f>
        <v>50-59</v>
      </c>
      <c r="E465" t="s">
        <v>11</v>
      </c>
      <c r="F465" t="b">
        <v>1</v>
      </c>
      <c r="G465" s="1">
        <v>32226</v>
      </c>
      <c r="H465">
        <v>19</v>
      </c>
      <c r="I465" s="5" t="str" cm="1">
        <f t="array" ref="I465">_xlfn.IFS(Table4[[#This Row],[Experience]]&lt;15, "7-15 YEARS",Table4[[#This Row],[Experience]]&lt;23, "15-23  YEARS",Table4[[#This Row],[Experience]]&lt;30, "23-30 YEARS",Table4[[#This Row],[Experience]]&gt;=30, "30+ YEARS")</f>
        <v>15-23  YEARS</v>
      </c>
      <c r="J465">
        <v>148735</v>
      </c>
      <c r="K465" s="5" t="str" cm="1">
        <f t="array" ref="K465">_xlfn.IFS(Table4[[#This Row],[Salary]]&lt;50000, "0-50K",Table4[[#This Row],[Salary]]&lt;100000, "50K-1L",Table4[[#This Row],[Salary]]&lt;150000, "1L-1.5L",Table4[[#This Row],[Salary]]&lt;200000, "1.5-2L",Table4[[#This Row],[Salary]]&gt;=200000, "2L+")</f>
        <v>1L-1.5L</v>
      </c>
    </row>
    <row r="466" spans="1:11" x14ac:dyDescent="0.3">
      <c r="A466">
        <v>464</v>
      </c>
      <c r="B466">
        <v>1488</v>
      </c>
      <c r="C466">
        <v>44</v>
      </c>
      <c r="D466" s="5" t="str" cm="1">
        <f t="array" ref="D466">_xlfn.IFS(C466&lt;30, "20-29",C466&lt;40, "30-39",C466&lt;50, "40-49",C466&lt;60, "50-59",Table4[[#This Row],[Age]]&gt;=60, "60+"  )</f>
        <v>40-49</v>
      </c>
      <c r="E466" t="s">
        <v>11</v>
      </c>
      <c r="F466" t="b">
        <v>1</v>
      </c>
      <c r="G466" s="1">
        <v>30126</v>
      </c>
      <c r="H466">
        <v>19</v>
      </c>
      <c r="I466" s="5" t="str" cm="1">
        <f t="array" ref="I466">_xlfn.IFS(Table4[[#This Row],[Experience]]&lt;15, "7-15 YEARS",Table4[[#This Row],[Experience]]&lt;23, "15-23  YEARS",Table4[[#This Row],[Experience]]&lt;30, "23-30 YEARS",Table4[[#This Row],[Experience]]&gt;=30, "30+ YEARS")</f>
        <v>15-23  YEARS</v>
      </c>
      <c r="J466">
        <v>150934</v>
      </c>
      <c r="K466" s="5" t="str" cm="1">
        <f t="array" ref="K466">_xlfn.IFS(Table4[[#This Row],[Salary]]&lt;50000, "0-50K",Table4[[#This Row],[Salary]]&lt;100000, "50K-1L",Table4[[#This Row],[Salary]]&lt;150000, "1L-1.5L",Table4[[#This Row],[Salary]]&lt;200000, "1.5-2L",Table4[[#This Row],[Salary]]&gt;=200000, "2L+")</f>
        <v>1.5-2L</v>
      </c>
    </row>
    <row r="467" spans="1:11" x14ac:dyDescent="0.3">
      <c r="A467">
        <v>465</v>
      </c>
      <c r="B467">
        <v>9373</v>
      </c>
      <c r="C467">
        <v>52</v>
      </c>
      <c r="D467" s="5" t="str" cm="1">
        <f t="array" ref="D467">_xlfn.IFS(C467&lt;30, "20-29",C467&lt;40, "30-39",C467&lt;50, "40-49",C467&lt;60, "50-59",Table4[[#This Row],[Age]]&gt;=60, "60+"  )</f>
        <v>50-59</v>
      </c>
      <c r="E467" t="s">
        <v>10</v>
      </c>
      <c r="F467" t="b">
        <v>1</v>
      </c>
      <c r="G467" s="1">
        <v>36780</v>
      </c>
      <c r="H467">
        <v>31</v>
      </c>
      <c r="I467" s="5" t="str" cm="1">
        <f t="array" ref="I467">_xlfn.IFS(Table4[[#This Row],[Experience]]&lt;15, "7-15 YEARS",Table4[[#This Row],[Experience]]&lt;23, "15-23  YEARS",Table4[[#This Row],[Experience]]&lt;30, "23-30 YEARS",Table4[[#This Row],[Experience]]&gt;=30, "30+ YEARS")</f>
        <v>30+ YEARS</v>
      </c>
      <c r="J467">
        <v>249071</v>
      </c>
      <c r="K467" s="5" t="str" cm="1">
        <f t="array" ref="K467">_xlfn.IFS(Table4[[#This Row],[Salary]]&lt;50000, "0-50K",Table4[[#This Row],[Salary]]&lt;100000, "50K-1L",Table4[[#This Row],[Salary]]&lt;150000, "1L-1.5L",Table4[[#This Row],[Salary]]&lt;200000, "1.5-2L",Table4[[#This Row],[Salary]]&gt;=200000, "2L+")</f>
        <v>2L+</v>
      </c>
    </row>
    <row r="468" spans="1:11" x14ac:dyDescent="0.3">
      <c r="A468">
        <v>466</v>
      </c>
      <c r="B468">
        <v>2643</v>
      </c>
      <c r="C468">
        <v>53</v>
      </c>
      <c r="D468" s="5" t="str" cm="1">
        <f t="array" ref="D468">_xlfn.IFS(C468&lt;30, "20-29",C468&lt;40, "30-39",C468&lt;50, "40-49",C468&lt;60, "50-59",Table4[[#This Row],[Age]]&gt;=60, "60+"  )</f>
        <v>50-59</v>
      </c>
      <c r="E468" t="s">
        <v>11</v>
      </c>
      <c r="F468" t="b">
        <v>0</v>
      </c>
      <c r="G468" s="1">
        <v>33270</v>
      </c>
      <c r="H468">
        <v>29</v>
      </c>
      <c r="I468" s="5" t="str" cm="1">
        <f t="array" ref="I468">_xlfn.IFS(Table4[[#This Row],[Experience]]&lt;15, "7-15 YEARS",Table4[[#This Row],[Experience]]&lt;23, "15-23  YEARS",Table4[[#This Row],[Experience]]&lt;30, "23-30 YEARS",Table4[[#This Row],[Experience]]&gt;=30, "30+ YEARS")</f>
        <v>23-30 YEARS</v>
      </c>
      <c r="J468">
        <v>235550</v>
      </c>
      <c r="K468" s="5" t="str" cm="1">
        <f t="array" ref="K468">_xlfn.IFS(Table4[[#This Row],[Salary]]&lt;50000, "0-50K",Table4[[#This Row],[Salary]]&lt;100000, "50K-1L",Table4[[#This Row],[Salary]]&lt;150000, "1L-1.5L",Table4[[#This Row],[Salary]]&lt;200000, "1.5-2L",Table4[[#This Row],[Salary]]&gt;=200000, "2L+")</f>
        <v>2L+</v>
      </c>
    </row>
    <row r="469" spans="1:11" x14ac:dyDescent="0.3">
      <c r="A469">
        <v>467</v>
      </c>
      <c r="B469">
        <v>1498</v>
      </c>
      <c r="C469">
        <v>36</v>
      </c>
      <c r="D469" s="5" t="str" cm="1">
        <f t="array" ref="D469">_xlfn.IFS(C469&lt;30, "20-29",C469&lt;40, "30-39",C469&lt;50, "40-49",C469&lt;60, "50-59",Table4[[#This Row],[Age]]&gt;=60, "60+"  )</f>
        <v>30-39</v>
      </c>
      <c r="E469" t="s">
        <v>9</v>
      </c>
      <c r="F469" t="b">
        <v>0</v>
      </c>
      <c r="G469" s="1">
        <v>31936</v>
      </c>
      <c r="H469">
        <v>19</v>
      </c>
      <c r="I469" s="5" t="str" cm="1">
        <f t="array" ref="I469">_xlfn.IFS(Table4[[#This Row],[Experience]]&lt;15, "7-15 YEARS",Table4[[#This Row],[Experience]]&lt;23, "15-23  YEARS",Table4[[#This Row],[Experience]]&lt;30, "23-30 YEARS",Table4[[#This Row],[Experience]]&gt;=30, "30+ YEARS")</f>
        <v>15-23  YEARS</v>
      </c>
      <c r="J469">
        <v>151124</v>
      </c>
      <c r="K469" s="5" t="str" cm="1">
        <f t="array" ref="K469">_xlfn.IFS(Table4[[#This Row],[Salary]]&lt;50000, "0-50K",Table4[[#This Row],[Salary]]&lt;100000, "50K-1L",Table4[[#This Row],[Salary]]&lt;150000, "1L-1.5L",Table4[[#This Row],[Salary]]&lt;200000, "1.5-2L",Table4[[#This Row],[Salary]]&gt;=200000, "2L+")</f>
        <v>1.5-2L</v>
      </c>
    </row>
    <row r="470" spans="1:11" x14ac:dyDescent="0.3">
      <c r="A470">
        <v>468</v>
      </c>
      <c r="B470">
        <v>1515</v>
      </c>
      <c r="C470">
        <v>39</v>
      </c>
      <c r="D470" s="5" t="str" cm="1">
        <f t="array" ref="D470">_xlfn.IFS(C470&lt;30, "20-29",C470&lt;40, "30-39",C470&lt;50, "40-49",C470&lt;60, "50-59",Table4[[#This Row],[Age]]&gt;=60, "60+"  )</f>
        <v>30-39</v>
      </c>
      <c r="E470" t="s">
        <v>9</v>
      </c>
      <c r="F470" t="b">
        <v>0</v>
      </c>
      <c r="G470" s="1">
        <v>39364</v>
      </c>
      <c r="H470">
        <v>17</v>
      </c>
      <c r="I470" s="5" t="str" cm="1">
        <f t="array" ref="I470">_xlfn.IFS(Table4[[#This Row],[Experience]]&lt;15, "7-15 YEARS",Table4[[#This Row],[Experience]]&lt;23, "15-23  YEARS",Table4[[#This Row],[Experience]]&lt;30, "23-30 YEARS",Table4[[#This Row],[Experience]]&gt;=30, "30+ YEARS")</f>
        <v>15-23  YEARS</v>
      </c>
      <c r="J470">
        <v>140001</v>
      </c>
      <c r="K470" s="5" t="str" cm="1">
        <f t="array" ref="K470">_xlfn.IFS(Table4[[#This Row],[Salary]]&lt;50000, "0-50K",Table4[[#This Row],[Salary]]&lt;100000, "50K-1L",Table4[[#This Row],[Salary]]&lt;150000, "1L-1.5L",Table4[[#This Row],[Salary]]&lt;200000, "1.5-2L",Table4[[#This Row],[Salary]]&gt;=200000, "2L+")</f>
        <v>1L-1.5L</v>
      </c>
    </row>
    <row r="471" spans="1:11" x14ac:dyDescent="0.3">
      <c r="A471">
        <v>469</v>
      </c>
      <c r="B471">
        <v>1919</v>
      </c>
      <c r="C471">
        <v>23</v>
      </c>
      <c r="D471" s="5" t="str" cm="1">
        <f t="array" ref="D471">_xlfn.IFS(C471&lt;30, "20-29",C471&lt;40, "30-39",C471&lt;50, "40-49",C471&lt;60, "50-59",Table4[[#This Row],[Age]]&gt;=60, "60+"  )</f>
        <v>20-29</v>
      </c>
      <c r="E471" t="s">
        <v>11</v>
      </c>
      <c r="F471" t="b">
        <v>1</v>
      </c>
      <c r="G471" s="1">
        <v>31298</v>
      </c>
      <c r="H471">
        <v>10</v>
      </c>
      <c r="I471" s="5" t="str" cm="1">
        <f t="array" ref="I471">_xlfn.IFS(Table4[[#This Row],[Experience]]&lt;15, "7-15 YEARS",Table4[[#This Row],[Experience]]&lt;23, "15-23  YEARS",Table4[[#This Row],[Experience]]&lt;30, "23-30 YEARS",Table4[[#This Row],[Experience]]&gt;=30, "30+ YEARS")</f>
        <v>7-15 YEARS</v>
      </c>
      <c r="J471">
        <v>78834</v>
      </c>
      <c r="K471" s="5" t="str" cm="1">
        <f t="array" ref="K471">_xlfn.IFS(Table4[[#This Row],[Salary]]&lt;50000, "0-50K",Table4[[#This Row],[Salary]]&lt;100000, "50K-1L",Table4[[#This Row],[Salary]]&lt;150000, "1L-1.5L",Table4[[#This Row],[Salary]]&lt;200000, "1.5-2L",Table4[[#This Row],[Salary]]&gt;=200000, "2L+")</f>
        <v>50K-1L</v>
      </c>
    </row>
    <row r="472" spans="1:11" x14ac:dyDescent="0.3">
      <c r="A472">
        <v>470</v>
      </c>
      <c r="B472">
        <v>4464</v>
      </c>
      <c r="C472">
        <v>27</v>
      </c>
      <c r="D472" s="5" t="str" cm="1">
        <f t="array" ref="D472">_xlfn.IFS(C472&lt;30, "20-29",C472&lt;40, "30-39",C472&lt;50, "40-49",C472&lt;60, "50-59",Table4[[#This Row],[Age]]&gt;=60, "60+"  )</f>
        <v>20-29</v>
      </c>
      <c r="E472" t="s">
        <v>12</v>
      </c>
      <c r="F472" t="b">
        <v>1</v>
      </c>
      <c r="G472" s="1">
        <v>26061</v>
      </c>
      <c r="H472">
        <v>10</v>
      </c>
      <c r="I472" s="5" t="str" cm="1">
        <f t="array" ref="I472">_xlfn.IFS(Table4[[#This Row],[Experience]]&lt;15, "7-15 YEARS",Table4[[#This Row],[Experience]]&lt;23, "15-23  YEARS",Table4[[#This Row],[Experience]]&lt;30, "23-30 YEARS",Table4[[#This Row],[Experience]]&gt;=30, "30+ YEARS")</f>
        <v>7-15 YEARS</v>
      </c>
      <c r="J472">
        <v>82592</v>
      </c>
      <c r="K472" s="5" t="str" cm="1">
        <f t="array" ref="K472">_xlfn.IFS(Table4[[#This Row],[Salary]]&lt;50000, "0-50K",Table4[[#This Row],[Salary]]&lt;100000, "50K-1L",Table4[[#This Row],[Salary]]&lt;150000, "1L-1.5L",Table4[[#This Row],[Salary]]&lt;200000, "1.5-2L",Table4[[#This Row],[Salary]]&gt;=200000, "2L+")</f>
        <v>50K-1L</v>
      </c>
    </row>
    <row r="473" spans="1:11" x14ac:dyDescent="0.3">
      <c r="A473">
        <v>471</v>
      </c>
      <c r="B473">
        <v>6062</v>
      </c>
      <c r="C473">
        <v>27</v>
      </c>
      <c r="D473" s="5" t="str" cm="1">
        <f t="array" ref="D473">_xlfn.IFS(C473&lt;30, "20-29",C473&lt;40, "30-39",C473&lt;50, "40-49",C473&lt;60, "50-59",Table4[[#This Row],[Age]]&gt;=60, "60+"  )</f>
        <v>20-29</v>
      </c>
      <c r="E473" t="s">
        <v>11</v>
      </c>
      <c r="F473" t="b">
        <v>0</v>
      </c>
      <c r="G473" s="1">
        <v>28054</v>
      </c>
      <c r="H473">
        <v>14</v>
      </c>
      <c r="I473" s="5" t="str" cm="1">
        <f t="array" ref="I473">_xlfn.IFS(Table4[[#This Row],[Experience]]&lt;15, "7-15 YEARS",Table4[[#This Row],[Experience]]&lt;23, "15-23  YEARS",Table4[[#This Row],[Experience]]&lt;30, "23-30 YEARS",Table4[[#This Row],[Experience]]&gt;=30, "30+ YEARS")</f>
        <v>7-15 YEARS</v>
      </c>
      <c r="J473">
        <v>115688</v>
      </c>
      <c r="K473" s="5" t="str" cm="1">
        <f t="array" ref="K473">_xlfn.IFS(Table4[[#This Row],[Salary]]&lt;50000, "0-50K",Table4[[#This Row],[Salary]]&lt;100000, "50K-1L",Table4[[#This Row],[Salary]]&lt;150000, "1L-1.5L",Table4[[#This Row],[Salary]]&lt;200000, "1.5-2L",Table4[[#This Row],[Salary]]&gt;=200000, "2L+")</f>
        <v>1L-1.5L</v>
      </c>
    </row>
    <row r="474" spans="1:11" x14ac:dyDescent="0.3">
      <c r="A474">
        <v>472</v>
      </c>
      <c r="B474">
        <v>8609</v>
      </c>
      <c r="C474">
        <v>60</v>
      </c>
      <c r="D474" s="5" t="str" cm="1">
        <f t="array" ref="D474">_xlfn.IFS(C474&lt;30, "20-29",C474&lt;40, "30-39",C474&lt;50, "40-49",C474&lt;60, "50-59",Table4[[#This Row],[Age]]&gt;=60, "60+"  )</f>
        <v>60+</v>
      </c>
      <c r="E474" t="s">
        <v>9</v>
      </c>
      <c r="F474" t="b">
        <v>0</v>
      </c>
      <c r="G474" s="1">
        <v>37524</v>
      </c>
      <c r="H474">
        <v>33</v>
      </c>
      <c r="I474" s="5" t="str" cm="1">
        <f t="array" ref="I474">_xlfn.IFS(Table4[[#This Row],[Experience]]&lt;15, "7-15 YEARS",Table4[[#This Row],[Experience]]&lt;23, "15-23  YEARS",Table4[[#This Row],[Experience]]&lt;30, "23-30 YEARS",Table4[[#This Row],[Experience]]&gt;=30, "30+ YEARS")</f>
        <v>30+ YEARS</v>
      </c>
      <c r="J474">
        <v>263818</v>
      </c>
      <c r="K474" s="5" t="str" cm="1">
        <f t="array" ref="K474">_xlfn.IFS(Table4[[#This Row],[Salary]]&lt;50000, "0-50K",Table4[[#This Row],[Salary]]&lt;100000, "50K-1L",Table4[[#This Row],[Salary]]&lt;150000, "1L-1.5L",Table4[[#This Row],[Salary]]&lt;200000, "1.5-2L",Table4[[#This Row],[Salary]]&gt;=200000, "2L+")</f>
        <v>2L+</v>
      </c>
    </row>
    <row r="475" spans="1:11" x14ac:dyDescent="0.3">
      <c r="A475">
        <v>473</v>
      </c>
      <c r="B475">
        <v>3523</v>
      </c>
      <c r="C475">
        <v>45</v>
      </c>
      <c r="D475" s="5" t="str" cm="1">
        <f t="array" ref="D475">_xlfn.IFS(C475&lt;30, "20-29",C475&lt;40, "30-39",C475&lt;50, "40-49",C475&lt;60, "50-59",Table4[[#This Row],[Age]]&gt;=60, "60+"  )</f>
        <v>40-49</v>
      </c>
      <c r="E475" t="s">
        <v>11</v>
      </c>
      <c r="F475" t="b">
        <v>0</v>
      </c>
      <c r="G475" s="1">
        <v>28649</v>
      </c>
      <c r="H475">
        <v>23</v>
      </c>
      <c r="I475" s="5" t="str" cm="1">
        <f t="array" ref="I475">_xlfn.IFS(Table4[[#This Row],[Experience]]&lt;15, "7-15 YEARS",Table4[[#This Row],[Experience]]&lt;23, "15-23  YEARS",Table4[[#This Row],[Experience]]&lt;30, "23-30 YEARS",Table4[[#This Row],[Experience]]&gt;=30, "30+ YEARS")</f>
        <v>23-30 YEARS</v>
      </c>
      <c r="J475">
        <v>178139</v>
      </c>
      <c r="K475" s="5" t="str" cm="1">
        <f t="array" ref="K475">_xlfn.IFS(Table4[[#This Row],[Salary]]&lt;50000, "0-50K",Table4[[#This Row],[Salary]]&lt;100000, "50K-1L",Table4[[#This Row],[Salary]]&lt;150000, "1L-1.5L",Table4[[#This Row],[Salary]]&lt;200000, "1.5-2L",Table4[[#This Row],[Salary]]&gt;=200000, "2L+")</f>
        <v>1.5-2L</v>
      </c>
    </row>
    <row r="476" spans="1:11" x14ac:dyDescent="0.3">
      <c r="A476">
        <v>474</v>
      </c>
      <c r="B476">
        <v>7576</v>
      </c>
      <c r="C476">
        <v>48</v>
      </c>
      <c r="D476" s="5" t="str" cm="1">
        <f t="array" ref="D476">_xlfn.IFS(C476&lt;30, "20-29",C476&lt;40, "30-39",C476&lt;50, "40-49",C476&lt;60, "50-59",Table4[[#This Row],[Age]]&gt;=60, "60+"  )</f>
        <v>40-49</v>
      </c>
      <c r="E476" t="s">
        <v>9</v>
      </c>
      <c r="F476" t="b">
        <v>1</v>
      </c>
      <c r="G476" s="1">
        <v>38946</v>
      </c>
      <c r="H476">
        <v>24</v>
      </c>
      <c r="I476" s="5" t="str" cm="1">
        <f t="array" ref="I476">_xlfn.IFS(Table4[[#This Row],[Experience]]&lt;15, "7-15 YEARS",Table4[[#This Row],[Experience]]&lt;23, "15-23  YEARS",Table4[[#This Row],[Experience]]&lt;30, "23-30 YEARS",Table4[[#This Row],[Experience]]&gt;=30, "30+ YEARS")</f>
        <v>23-30 YEARS</v>
      </c>
      <c r="J476">
        <v>194575</v>
      </c>
      <c r="K476" s="5" t="str" cm="1">
        <f t="array" ref="K476">_xlfn.IFS(Table4[[#This Row],[Salary]]&lt;50000, "0-50K",Table4[[#This Row],[Salary]]&lt;100000, "50K-1L",Table4[[#This Row],[Salary]]&lt;150000, "1L-1.5L",Table4[[#This Row],[Salary]]&lt;200000, "1.5-2L",Table4[[#This Row],[Salary]]&gt;=200000, "2L+")</f>
        <v>1.5-2L</v>
      </c>
    </row>
    <row r="477" spans="1:11" x14ac:dyDescent="0.3">
      <c r="A477">
        <v>475</v>
      </c>
      <c r="B477">
        <v>9175</v>
      </c>
      <c r="C477">
        <v>44</v>
      </c>
      <c r="D477" s="5" t="str" cm="1">
        <f t="array" ref="D477">_xlfn.IFS(C477&lt;30, "20-29",C477&lt;40, "30-39",C477&lt;50, "40-49",C477&lt;60, "50-59",Table4[[#This Row],[Age]]&gt;=60, "60+"  )</f>
        <v>40-49</v>
      </c>
      <c r="E477" t="s">
        <v>9</v>
      </c>
      <c r="F477" t="b">
        <v>1</v>
      </c>
      <c r="G477" s="1">
        <v>27142</v>
      </c>
      <c r="H477">
        <v>27</v>
      </c>
      <c r="I477" s="5" t="str" cm="1">
        <f t="array" ref="I477">_xlfn.IFS(Table4[[#This Row],[Experience]]&lt;15, "7-15 YEARS",Table4[[#This Row],[Experience]]&lt;23, "15-23  YEARS",Table4[[#This Row],[Experience]]&lt;30, "23-30 YEARS",Table4[[#This Row],[Experience]]&gt;=30, "30+ YEARS")</f>
        <v>23-30 YEARS</v>
      </c>
      <c r="J477">
        <v>213467</v>
      </c>
      <c r="K477" s="5" t="str" cm="1">
        <f t="array" ref="K477">_xlfn.IFS(Table4[[#This Row],[Salary]]&lt;50000, "0-50K",Table4[[#This Row],[Salary]]&lt;100000, "50K-1L",Table4[[#This Row],[Salary]]&lt;150000, "1L-1.5L",Table4[[#This Row],[Salary]]&lt;200000, "1.5-2L",Table4[[#This Row],[Salary]]&gt;=200000, "2L+")</f>
        <v>2L+</v>
      </c>
    </row>
    <row r="478" spans="1:11" x14ac:dyDescent="0.3">
      <c r="A478">
        <v>476</v>
      </c>
      <c r="B478">
        <v>4299</v>
      </c>
      <c r="C478">
        <v>43</v>
      </c>
      <c r="D478" s="5" t="str" cm="1">
        <f t="array" ref="D478">_xlfn.IFS(C478&lt;30, "20-29",C478&lt;40, "30-39",C478&lt;50, "40-49",C478&lt;60, "50-59",Table4[[#This Row],[Age]]&gt;=60, "60+"  )</f>
        <v>40-49</v>
      </c>
      <c r="E478" t="s">
        <v>9</v>
      </c>
      <c r="F478" t="b">
        <v>1</v>
      </c>
      <c r="G478" s="1">
        <v>45803</v>
      </c>
      <c r="H478">
        <v>19</v>
      </c>
      <c r="I478" s="5" t="str" cm="1">
        <f t="array" ref="I478">_xlfn.IFS(Table4[[#This Row],[Experience]]&lt;15, "7-15 YEARS",Table4[[#This Row],[Experience]]&lt;23, "15-23  YEARS",Table4[[#This Row],[Experience]]&lt;30, "23-30 YEARS",Table4[[#This Row],[Experience]]&gt;=30, "30+ YEARS")</f>
        <v>15-23  YEARS</v>
      </c>
      <c r="J478">
        <v>155006</v>
      </c>
      <c r="K478" s="5" t="str" cm="1">
        <f t="array" ref="K478">_xlfn.IFS(Table4[[#This Row],[Salary]]&lt;50000, "0-50K",Table4[[#This Row],[Salary]]&lt;100000, "50K-1L",Table4[[#This Row],[Salary]]&lt;150000, "1L-1.5L",Table4[[#This Row],[Salary]]&lt;200000, "1.5-2L",Table4[[#This Row],[Salary]]&gt;=200000, "2L+")</f>
        <v>1.5-2L</v>
      </c>
    </row>
    <row r="479" spans="1:11" x14ac:dyDescent="0.3">
      <c r="A479">
        <v>477</v>
      </c>
      <c r="B479">
        <v>1747</v>
      </c>
      <c r="C479">
        <v>51</v>
      </c>
      <c r="D479" s="5" t="str" cm="1">
        <f t="array" ref="D479">_xlfn.IFS(C479&lt;30, "20-29",C479&lt;40, "30-39",C479&lt;50, "40-49",C479&lt;60, "50-59",Table4[[#This Row],[Age]]&gt;=60, "60+"  )</f>
        <v>50-59</v>
      </c>
      <c r="E479" t="s">
        <v>10</v>
      </c>
      <c r="F479" t="b">
        <v>1</v>
      </c>
      <c r="G479" s="1">
        <v>31744</v>
      </c>
      <c r="H479">
        <v>24</v>
      </c>
      <c r="I479" s="5" t="str" cm="1">
        <f t="array" ref="I479">_xlfn.IFS(Table4[[#This Row],[Experience]]&lt;15, "7-15 YEARS",Table4[[#This Row],[Experience]]&lt;23, "15-23  YEARS",Table4[[#This Row],[Experience]]&lt;30, "23-30 YEARS",Table4[[#This Row],[Experience]]&gt;=30, "30+ YEARS")</f>
        <v>23-30 YEARS</v>
      </c>
      <c r="J479">
        <v>192646</v>
      </c>
      <c r="K479" s="5" t="str" cm="1">
        <f t="array" ref="K479">_xlfn.IFS(Table4[[#This Row],[Salary]]&lt;50000, "0-50K",Table4[[#This Row],[Salary]]&lt;100000, "50K-1L",Table4[[#This Row],[Salary]]&lt;150000, "1L-1.5L",Table4[[#This Row],[Salary]]&lt;200000, "1.5-2L",Table4[[#This Row],[Salary]]&gt;=200000, "2L+")</f>
        <v>1.5-2L</v>
      </c>
    </row>
    <row r="480" spans="1:11" x14ac:dyDescent="0.3">
      <c r="A480">
        <v>478</v>
      </c>
      <c r="B480">
        <v>5284</v>
      </c>
      <c r="C480">
        <v>62</v>
      </c>
      <c r="D480" s="5" t="str" cm="1">
        <f t="array" ref="D480">_xlfn.IFS(C480&lt;30, "20-29",C480&lt;40, "30-39",C480&lt;50, "40-49",C480&lt;60, "50-59",Table4[[#This Row],[Age]]&gt;=60, "60+"  )</f>
        <v>60+</v>
      </c>
      <c r="E480" t="s">
        <v>12</v>
      </c>
      <c r="F480" t="b">
        <v>0</v>
      </c>
      <c r="G480" s="1">
        <v>27269</v>
      </c>
      <c r="H480">
        <v>29</v>
      </c>
      <c r="I480" s="5" t="str" cm="1">
        <f t="array" ref="I480">_xlfn.IFS(Table4[[#This Row],[Experience]]&lt;15, "7-15 YEARS",Table4[[#This Row],[Experience]]&lt;23, "15-23  YEARS",Table4[[#This Row],[Experience]]&lt;30, "23-30 YEARS",Table4[[#This Row],[Experience]]&gt;=30, "30+ YEARS")</f>
        <v>23-30 YEARS</v>
      </c>
      <c r="J480">
        <v>232123</v>
      </c>
      <c r="K480" s="5" t="str" cm="1">
        <f t="array" ref="K480">_xlfn.IFS(Table4[[#This Row],[Salary]]&lt;50000, "0-50K",Table4[[#This Row],[Salary]]&lt;100000, "50K-1L",Table4[[#This Row],[Salary]]&lt;150000, "1L-1.5L",Table4[[#This Row],[Salary]]&lt;200000, "1.5-2L",Table4[[#This Row],[Salary]]&gt;=200000, "2L+")</f>
        <v>2L+</v>
      </c>
    </row>
    <row r="481" spans="1:11" x14ac:dyDescent="0.3">
      <c r="A481">
        <v>479</v>
      </c>
      <c r="B481">
        <v>3907</v>
      </c>
      <c r="C481">
        <v>56</v>
      </c>
      <c r="D481" s="5" t="str" cm="1">
        <f t="array" ref="D481">_xlfn.IFS(C481&lt;30, "20-29",C481&lt;40, "30-39",C481&lt;50, "40-49",C481&lt;60, "50-59",Table4[[#This Row],[Age]]&gt;=60, "60+"  )</f>
        <v>50-59</v>
      </c>
      <c r="E481" t="s">
        <v>9</v>
      </c>
      <c r="F481" t="b">
        <v>1</v>
      </c>
      <c r="G481" s="1">
        <v>40741</v>
      </c>
      <c r="H481">
        <v>29</v>
      </c>
      <c r="I481" s="5" t="str" cm="1">
        <f t="array" ref="I481">_xlfn.IFS(Table4[[#This Row],[Experience]]&lt;15, "7-15 YEARS",Table4[[#This Row],[Experience]]&lt;23, "15-23  YEARS",Table4[[#This Row],[Experience]]&lt;30, "23-30 YEARS",Table4[[#This Row],[Experience]]&gt;=30, "30+ YEARS")</f>
        <v>23-30 YEARS</v>
      </c>
      <c r="J481">
        <v>229395</v>
      </c>
      <c r="K481" s="5" t="str" cm="1">
        <f t="array" ref="K481">_xlfn.IFS(Table4[[#This Row],[Salary]]&lt;50000, "0-50K",Table4[[#This Row],[Salary]]&lt;100000, "50K-1L",Table4[[#This Row],[Salary]]&lt;150000, "1L-1.5L",Table4[[#This Row],[Salary]]&lt;200000, "1.5-2L",Table4[[#This Row],[Salary]]&gt;=200000, "2L+")</f>
        <v>2L+</v>
      </c>
    </row>
    <row r="482" spans="1:11" x14ac:dyDescent="0.3">
      <c r="A482">
        <v>480</v>
      </c>
      <c r="B482">
        <v>3543</v>
      </c>
      <c r="C482">
        <v>45</v>
      </c>
      <c r="D482" s="5" t="str" cm="1">
        <f t="array" ref="D482">_xlfn.IFS(C482&lt;30, "20-29",C482&lt;40, "30-39",C482&lt;50, "40-49",C482&lt;60, "50-59",Table4[[#This Row],[Age]]&gt;=60, "60+"  )</f>
        <v>40-49</v>
      </c>
      <c r="E482" t="s">
        <v>10</v>
      </c>
      <c r="F482" t="b">
        <v>0</v>
      </c>
      <c r="G482" s="1">
        <v>40877</v>
      </c>
      <c r="H482">
        <v>25</v>
      </c>
      <c r="I482" s="5" t="str" cm="1">
        <f t="array" ref="I482">_xlfn.IFS(Table4[[#This Row],[Experience]]&lt;15, "7-15 YEARS",Table4[[#This Row],[Experience]]&lt;23, "15-23  YEARS",Table4[[#This Row],[Experience]]&lt;30, "23-30 YEARS",Table4[[#This Row],[Experience]]&gt;=30, "30+ YEARS")</f>
        <v>23-30 YEARS</v>
      </c>
      <c r="J482">
        <v>202850</v>
      </c>
      <c r="K482" s="5" t="str" cm="1">
        <f t="array" ref="K482">_xlfn.IFS(Table4[[#This Row],[Salary]]&lt;50000, "0-50K",Table4[[#This Row],[Salary]]&lt;100000, "50K-1L",Table4[[#This Row],[Salary]]&lt;150000, "1L-1.5L",Table4[[#This Row],[Salary]]&lt;200000, "1.5-2L",Table4[[#This Row],[Salary]]&gt;=200000, "2L+")</f>
        <v>2L+</v>
      </c>
    </row>
    <row r="483" spans="1:11" x14ac:dyDescent="0.3">
      <c r="A483">
        <v>481</v>
      </c>
      <c r="B483">
        <v>5168</v>
      </c>
      <c r="C483">
        <v>23</v>
      </c>
      <c r="D483" s="5" t="str" cm="1">
        <f t="array" ref="D483">_xlfn.IFS(C483&lt;30, "20-29",C483&lt;40, "30-39",C483&lt;50, "40-49",C483&lt;60, "50-59",Table4[[#This Row],[Age]]&gt;=60, "60+"  )</f>
        <v>20-29</v>
      </c>
      <c r="E483" t="s">
        <v>12</v>
      </c>
      <c r="F483" t="b">
        <v>1</v>
      </c>
      <c r="G483" s="1">
        <v>26750</v>
      </c>
      <c r="H483">
        <v>10</v>
      </c>
      <c r="I483" s="5" t="str" cm="1">
        <f t="array" ref="I483">_xlfn.IFS(Table4[[#This Row],[Experience]]&lt;15, "7-15 YEARS",Table4[[#This Row],[Experience]]&lt;23, "15-23  YEARS",Table4[[#This Row],[Experience]]&lt;30, "23-30 YEARS",Table4[[#This Row],[Experience]]&gt;=30, "30+ YEARS")</f>
        <v>7-15 YEARS</v>
      </c>
      <c r="J483">
        <v>85536</v>
      </c>
      <c r="K483" s="5" t="str" cm="1">
        <f t="array" ref="K483">_xlfn.IFS(Table4[[#This Row],[Salary]]&lt;50000, "0-50K",Table4[[#This Row],[Salary]]&lt;100000, "50K-1L",Table4[[#This Row],[Salary]]&lt;150000, "1L-1.5L",Table4[[#This Row],[Salary]]&lt;200000, "1.5-2L",Table4[[#This Row],[Salary]]&gt;=200000, "2L+")</f>
        <v>50K-1L</v>
      </c>
    </row>
    <row r="484" spans="1:11" x14ac:dyDescent="0.3">
      <c r="A484">
        <v>482</v>
      </c>
      <c r="B484">
        <v>2060</v>
      </c>
      <c r="C484">
        <v>42</v>
      </c>
      <c r="D484" s="5" t="str" cm="1">
        <f t="array" ref="D484">_xlfn.IFS(C484&lt;30, "20-29",C484&lt;40, "30-39",C484&lt;50, "40-49",C484&lt;60, "50-59",Table4[[#This Row],[Age]]&gt;=60, "60+"  )</f>
        <v>40-49</v>
      </c>
      <c r="E484" t="s">
        <v>11</v>
      </c>
      <c r="F484" t="b">
        <v>1</v>
      </c>
      <c r="G484" s="1">
        <v>34634</v>
      </c>
      <c r="H484">
        <v>21</v>
      </c>
      <c r="I484" s="5" t="str" cm="1">
        <f t="array" ref="I484">_xlfn.IFS(Table4[[#This Row],[Experience]]&lt;15, "7-15 YEARS",Table4[[#This Row],[Experience]]&lt;23, "15-23  YEARS",Table4[[#This Row],[Experience]]&lt;30, "23-30 YEARS",Table4[[#This Row],[Experience]]&gt;=30, "30+ YEARS")</f>
        <v>15-23  YEARS</v>
      </c>
      <c r="J484">
        <v>172003</v>
      </c>
      <c r="K484" s="5" t="str" cm="1">
        <f t="array" ref="K484">_xlfn.IFS(Table4[[#This Row],[Salary]]&lt;50000, "0-50K",Table4[[#This Row],[Salary]]&lt;100000, "50K-1L",Table4[[#This Row],[Salary]]&lt;150000, "1L-1.5L",Table4[[#This Row],[Salary]]&lt;200000, "1.5-2L",Table4[[#This Row],[Salary]]&gt;=200000, "2L+")</f>
        <v>1.5-2L</v>
      </c>
    </row>
    <row r="485" spans="1:11" x14ac:dyDescent="0.3">
      <c r="A485">
        <v>483</v>
      </c>
      <c r="B485">
        <v>5476</v>
      </c>
      <c r="C485">
        <v>56</v>
      </c>
      <c r="D485" s="5" t="str" cm="1">
        <f t="array" ref="D485">_xlfn.IFS(C485&lt;30, "20-29",C485&lt;40, "30-39",C485&lt;50, "40-49",C485&lt;60, "50-59",Table4[[#This Row],[Age]]&gt;=60, "60+"  )</f>
        <v>50-59</v>
      </c>
      <c r="E485" t="s">
        <v>8</v>
      </c>
      <c r="F485" t="b">
        <v>0</v>
      </c>
      <c r="G485" s="1">
        <v>40881</v>
      </c>
      <c r="H485">
        <v>29</v>
      </c>
      <c r="I485" s="5" t="str" cm="1">
        <f t="array" ref="I485">_xlfn.IFS(Table4[[#This Row],[Experience]]&lt;15, "7-15 YEARS",Table4[[#This Row],[Experience]]&lt;23, "15-23  YEARS",Table4[[#This Row],[Experience]]&lt;30, "23-30 YEARS",Table4[[#This Row],[Experience]]&gt;=30, "30+ YEARS")</f>
        <v>23-30 YEARS</v>
      </c>
      <c r="J485">
        <v>235111</v>
      </c>
      <c r="K485" s="5" t="str" cm="1">
        <f t="array" ref="K485">_xlfn.IFS(Table4[[#This Row],[Salary]]&lt;50000, "0-50K",Table4[[#This Row],[Salary]]&lt;100000, "50K-1L",Table4[[#This Row],[Salary]]&lt;150000, "1L-1.5L",Table4[[#This Row],[Salary]]&lt;200000, "1.5-2L",Table4[[#This Row],[Salary]]&gt;=200000, "2L+")</f>
        <v>2L+</v>
      </c>
    </row>
    <row r="486" spans="1:11" x14ac:dyDescent="0.3">
      <c r="A486">
        <v>484</v>
      </c>
      <c r="B486">
        <v>5336</v>
      </c>
      <c r="C486">
        <v>60</v>
      </c>
      <c r="D486" s="5" t="str" cm="1">
        <f t="array" ref="D486">_xlfn.IFS(C486&lt;30, "20-29",C486&lt;40, "30-39",C486&lt;50, "40-49",C486&lt;60, "50-59",Table4[[#This Row],[Age]]&gt;=60, "60+"  )</f>
        <v>60+</v>
      </c>
      <c r="E486" t="s">
        <v>9</v>
      </c>
      <c r="F486" t="b">
        <v>1</v>
      </c>
      <c r="G486" s="1">
        <v>26158</v>
      </c>
      <c r="H486">
        <v>32</v>
      </c>
      <c r="I486" s="5" t="str" cm="1">
        <f t="array" ref="I486">_xlfn.IFS(Table4[[#This Row],[Experience]]&lt;15, "7-15 YEARS",Table4[[#This Row],[Experience]]&lt;23, "15-23  YEARS",Table4[[#This Row],[Experience]]&lt;30, "23-30 YEARS",Table4[[#This Row],[Experience]]&gt;=30, "30+ YEARS")</f>
        <v>30+ YEARS</v>
      </c>
      <c r="J486">
        <v>248177</v>
      </c>
      <c r="K486" s="5" t="str" cm="1">
        <f t="array" ref="K486">_xlfn.IFS(Table4[[#This Row],[Salary]]&lt;50000, "0-50K",Table4[[#This Row],[Salary]]&lt;100000, "50K-1L",Table4[[#This Row],[Salary]]&lt;150000, "1L-1.5L",Table4[[#This Row],[Salary]]&lt;200000, "1.5-2L",Table4[[#This Row],[Salary]]&gt;=200000, "2L+")</f>
        <v>2L+</v>
      </c>
    </row>
    <row r="487" spans="1:11" x14ac:dyDescent="0.3">
      <c r="A487">
        <v>485</v>
      </c>
      <c r="B487">
        <v>7226</v>
      </c>
      <c r="C487">
        <v>38</v>
      </c>
      <c r="D487" s="5" t="str" cm="1">
        <f t="array" ref="D487">_xlfn.IFS(C487&lt;30, "20-29",C487&lt;40, "30-39",C487&lt;50, "40-49",C487&lt;60, "50-59",Table4[[#This Row],[Age]]&gt;=60, "60+"  )</f>
        <v>30-39</v>
      </c>
      <c r="E487" t="s">
        <v>11</v>
      </c>
      <c r="F487" t="b">
        <v>1</v>
      </c>
      <c r="G487" s="1">
        <v>43419</v>
      </c>
      <c r="H487">
        <v>25</v>
      </c>
      <c r="I487" s="5" t="str" cm="1">
        <f t="array" ref="I487">_xlfn.IFS(Table4[[#This Row],[Experience]]&lt;15, "7-15 YEARS",Table4[[#This Row],[Experience]]&lt;23, "15-23  YEARS",Table4[[#This Row],[Experience]]&lt;30, "23-30 YEARS",Table4[[#This Row],[Experience]]&gt;=30, "30+ YEARS")</f>
        <v>23-30 YEARS</v>
      </c>
      <c r="J487">
        <v>199358</v>
      </c>
      <c r="K487" s="5" t="str" cm="1">
        <f t="array" ref="K487">_xlfn.IFS(Table4[[#This Row],[Salary]]&lt;50000, "0-50K",Table4[[#This Row],[Salary]]&lt;100000, "50K-1L",Table4[[#This Row],[Salary]]&lt;150000, "1L-1.5L",Table4[[#This Row],[Salary]]&lt;200000, "1.5-2L",Table4[[#This Row],[Salary]]&gt;=200000, "2L+")</f>
        <v>1.5-2L</v>
      </c>
    </row>
    <row r="488" spans="1:11" x14ac:dyDescent="0.3">
      <c r="A488">
        <v>486</v>
      </c>
      <c r="B488">
        <v>7799</v>
      </c>
      <c r="C488">
        <v>42</v>
      </c>
      <c r="D488" s="5" t="str" cm="1">
        <f t="array" ref="D488">_xlfn.IFS(C488&lt;30, "20-29",C488&lt;40, "30-39",C488&lt;50, "40-49",C488&lt;60, "50-59",Table4[[#This Row],[Age]]&gt;=60, "60+"  )</f>
        <v>40-49</v>
      </c>
      <c r="E488" t="s">
        <v>8</v>
      </c>
      <c r="F488" t="b">
        <v>0</v>
      </c>
      <c r="G488" s="1">
        <v>31987</v>
      </c>
      <c r="H488">
        <v>24</v>
      </c>
      <c r="I488" s="5" t="str" cm="1">
        <f t="array" ref="I488">_xlfn.IFS(Table4[[#This Row],[Experience]]&lt;15, "7-15 YEARS",Table4[[#This Row],[Experience]]&lt;23, "15-23  YEARS",Table4[[#This Row],[Experience]]&lt;30, "23-30 YEARS",Table4[[#This Row],[Experience]]&gt;=30, "30+ YEARS")</f>
        <v>23-30 YEARS</v>
      </c>
      <c r="J488">
        <v>189242</v>
      </c>
      <c r="K488" s="5" t="str" cm="1">
        <f t="array" ref="K488">_xlfn.IFS(Table4[[#This Row],[Salary]]&lt;50000, "0-50K",Table4[[#This Row],[Salary]]&lt;100000, "50K-1L",Table4[[#This Row],[Salary]]&lt;150000, "1L-1.5L",Table4[[#This Row],[Salary]]&lt;200000, "1.5-2L",Table4[[#This Row],[Salary]]&gt;=200000, "2L+")</f>
        <v>1.5-2L</v>
      </c>
    </row>
    <row r="489" spans="1:11" x14ac:dyDescent="0.3">
      <c r="A489">
        <v>487</v>
      </c>
      <c r="B489">
        <v>1518</v>
      </c>
      <c r="C489">
        <v>35</v>
      </c>
      <c r="D489" s="5" t="str" cm="1">
        <f t="array" ref="D489">_xlfn.IFS(C489&lt;30, "20-29",C489&lt;40, "30-39",C489&lt;50, "40-49",C489&lt;60, "50-59",Table4[[#This Row],[Age]]&gt;=60, "60+"  )</f>
        <v>30-39</v>
      </c>
      <c r="E489" t="s">
        <v>9</v>
      </c>
      <c r="F489" t="b">
        <v>1</v>
      </c>
      <c r="G489" s="1">
        <v>36995</v>
      </c>
      <c r="H489">
        <v>14</v>
      </c>
      <c r="I489" s="5" t="str" cm="1">
        <f t="array" ref="I489">_xlfn.IFS(Table4[[#This Row],[Experience]]&lt;15, "7-15 YEARS",Table4[[#This Row],[Experience]]&lt;23, "15-23  YEARS",Table4[[#This Row],[Experience]]&lt;30, "23-30 YEARS",Table4[[#This Row],[Experience]]&gt;=30, "30+ YEARS")</f>
        <v>7-15 YEARS</v>
      </c>
      <c r="J489">
        <v>115170</v>
      </c>
      <c r="K489" s="5" t="str" cm="1">
        <f t="array" ref="K489">_xlfn.IFS(Table4[[#This Row],[Salary]]&lt;50000, "0-50K",Table4[[#This Row],[Salary]]&lt;100000, "50K-1L",Table4[[#This Row],[Salary]]&lt;150000, "1L-1.5L",Table4[[#This Row],[Salary]]&lt;200000, "1.5-2L",Table4[[#This Row],[Salary]]&gt;=200000, "2L+")</f>
        <v>1L-1.5L</v>
      </c>
    </row>
    <row r="490" spans="1:11" x14ac:dyDescent="0.3">
      <c r="A490">
        <v>488</v>
      </c>
      <c r="B490">
        <v>5175</v>
      </c>
      <c r="C490">
        <v>64</v>
      </c>
      <c r="D490" s="5" t="str" cm="1">
        <f t="array" ref="D490">_xlfn.IFS(C490&lt;30, "20-29",C490&lt;40, "30-39",C490&lt;50, "40-49",C490&lt;60, "50-59",Table4[[#This Row],[Age]]&gt;=60, "60+"  )</f>
        <v>60+</v>
      </c>
      <c r="E490" t="s">
        <v>12</v>
      </c>
      <c r="F490" t="b">
        <v>0</v>
      </c>
      <c r="G490" s="1">
        <v>37165</v>
      </c>
      <c r="H490">
        <v>35</v>
      </c>
      <c r="I490" s="5" t="str" cm="1">
        <f t="array" ref="I490">_xlfn.IFS(Table4[[#This Row],[Experience]]&lt;15, "7-15 YEARS",Table4[[#This Row],[Experience]]&lt;23, "15-23  YEARS",Table4[[#This Row],[Experience]]&lt;30, "23-30 YEARS",Table4[[#This Row],[Experience]]&gt;=30, "30+ YEARS")</f>
        <v>30+ YEARS</v>
      </c>
      <c r="J490">
        <v>285886</v>
      </c>
      <c r="K490" s="5" t="str" cm="1">
        <f t="array" ref="K490">_xlfn.IFS(Table4[[#This Row],[Salary]]&lt;50000, "0-50K",Table4[[#This Row],[Salary]]&lt;100000, "50K-1L",Table4[[#This Row],[Salary]]&lt;150000, "1L-1.5L",Table4[[#This Row],[Salary]]&lt;200000, "1.5-2L",Table4[[#This Row],[Salary]]&gt;=200000, "2L+")</f>
        <v>2L+</v>
      </c>
    </row>
    <row r="491" spans="1:11" x14ac:dyDescent="0.3">
      <c r="A491">
        <v>489</v>
      </c>
      <c r="B491">
        <v>8349</v>
      </c>
      <c r="C491">
        <v>48</v>
      </c>
      <c r="D491" s="5" t="str" cm="1">
        <f t="array" ref="D491">_xlfn.IFS(C491&lt;30, "20-29",C491&lt;40, "30-39",C491&lt;50, "40-49",C491&lt;60, "50-59",Table4[[#This Row],[Age]]&gt;=60, "60+"  )</f>
        <v>40-49</v>
      </c>
      <c r="E491" t="s">
        <v>12</v>
      </c>
      <c r="F491" t="b">
        <v>1</v>
      </c>
      <c r="G491" s="1">
        <v>27176</v>
      </c>
      <c r="H491">
        <v>23</v>
      </c>
      <c r="I491" s="5" t="str" cm="1">
        <f t="array" ref="I491">_xlfn.IFS(Table4[[#This Row],[Experience]]&lt;15, "7-15 YEARS",Table4[[#This Row],[Experience]]&lt;23, "15-23  YEARS",Table4[[#This Row],[Experience]]&lt;30, "23-30 YEARS",Table4[[#This Row],[Experience]]&gt;=30, "30+ YEARS")</f>
        <v>23-30 YEARS</v>
      </c>
      <c r="J491">
        <v>177664</v>
      </c>
      <c r="K491" s="5" t="str" cm="1">
        <f t="array" ref="K491">_xlfn.IFS(Table4[[#This Row],[Salary]]&lt;50000, "0-50K",Table4[[#This Row],[Salary]]&lt;100000, "50K-1L",Table4[[#This Row],[Salary]]&lt;150000, "1L-1.5L",Table4[[#This Row],[Salary]]&lt;200000, "1.5-2L",Table4[[#This Row],[Salary]]&gt;=200000, "2L+")</f>
        <v>1.5-2L</v>
      </c>
    </row>
    <row r="492" spans="1:11" x14ac:dyDescent="0.3">
      <c r="A492">
        <v>490</v>
      </c>
      <c r="B492">
        <v>2319</v>
      </c>
      <c r="C492">
        <v>29</v>
      </c>
      <c r="D492" s="5" t="str" cm="1">
        <f t="array" ref="D492">_xlfn.IFS(C492&lt;30, "20-29",C492&lt;40, "30-39",C492&lt;50, "40-49",C492&lt;60, "50-59",Table4[[#This Row],[Age]]&gt;=60, "60+"  )</f>
        <v>20-29</v>
      </c>
      <c r="E492" t="s">
        <v>10</v>
      </c>
      <c r="F492" t="b">
        <v>0</v>
      </c>
      <c r="G492" s="1">
        <v>31692</v>
      </c>
      <c r="H492">
        <v>15</v>
      </c>
      <c r="I492" s="5" t="str" cm="1">
        <f t="array" ref="I492">_xlfn.IFS(Table4[[#This Row],[Experience]]&lt;15, "7-15 YEARS",Table4[[#This Row],[Experience]]&lt;23, "15-23  YEARS",Table4[[#This Row],[Experience]]&lt;30, "23-30 YEARS",Table4[[#This Row],[Experience]]&gt;=30, "30+ YEARS")</f>
        <v>15-23  YEARS</v>
      </c>
      <c r="J492">
        <v>113358</v>
      </c>
      <c r="K492" s="5" t="str" cm="1">
        <f t="array" ref="K492">_xlfn.IFS(Table4[[#This Row],[Salary]]&lt;50000, "0-50K",Table4[[#This Row],[Salary]]&lt;100000, "50K-1L",Table4[[#This Row],[Salary]]&lt;150000, "1L-1.5L",Table4[[#This Row],[Salary]]&lt;200000, "1.5-2L",Table4[[#This Row],[Salary]]&gt;=200000, "2L+")</f>
        <v>1L-1.5L</v>
      </c>
    </row>
    <row r="493" spans="1:11" x14ac:dyDescent="0.3">
      <c r="A493">
        <v>491</v>
      </c>
      <c r="B493">
        <v>5357</v>
      </c>
      <c r="C493">
        <v>27</v>
      </c>
      <c r="D493" s="5" t="str" cm="1">
        <f t="array" ref="D493">_xlfn.IFS(C493&lt;30, "20-29",C493&lt;40, "30-39",C493&lt;50, "40-49",C493&lt;60, "50-59",Table4[[#This Row],[Age]]&gt;=60, "60+"  )</f>
        <v>20-29</v>
      </c>
      <c r="E493" t="s">
        <v>8</v>
      </c>
      <c r="F493" t="b">
        <v>1</v>
      </c>
      <c r="G493" s="1">
        <v>27720</v>
      </c>
      <c r="H493">
        <v>14</v>
      </c>
      <c r="I493" s="5" t="str" cm="1">
        <f t="array" ref="I493">_xlfn.IFS(Table4[[#This Row],[Experience]]&lt;15, "7-15 YEARS",Table4[[#This Row],[Experience]]&lt;23, "15-23  YEARS",Table4[[#This Row],[Experience]]&lt;30, "23-30 YEARS",Table4[[#This Row],[Experience]]&gt;=30, "30+ YEARS")</f>
        <v>7-15 YEARS</v>
      </c>
      <c r="J493">
        <v>115037</v>
      </c>
      <c r="K493" s="5" t="str" cm="1">
        <f t="array" ref="K493">_xlfn.IFS(Table4[[#This Row],[Salary]]&lt;50000, "0-50K",Table4[[#This Row],[Salary]]&lt;100000, "50K-1L",Table4[[#This Row],[Salary]]&lt;150000, "1L-1.5L",Table4[[#This Row],[Salary]]&lt;200000, "1.5-2L",Table4[[#This Row],[Salary]]&gt;=200000, "2L+")</f>
        <v>1L-1.5L</v>
      </c>
    </row>
    <row r="494" spans="1:11" x14ac:dyDescent="0.3">
      <c r="A494">
        <v>492</v>
      </c>
      <c r="B494">
        <v>6309</v>
      </c>
      <c r="C494">
        <v>43</v>
      </c>
      <c r="D494" s="5" t="str" cm="1">
        <f t="array" ref="D494">_xlfn.IFS(C494&lt;30, "20-29",C494&lt;40, "30-39",C494&lt;50, "40-49",C494&lt;60, "50-59",Table4[[#This Row],[Age]]&gt;=60, "60+"  )</f>
        <v>40-49</v>
      </c>
      <c r="E494" t="s">
        <v>11</v>
      </c>
      <c r="F494" t="b">
        <v>1</v>
      </c>
      <c r="G494" s="1">
        <v>34266</v>
      </c>
      <c r="H494">
        <v>23</v>
      </c>
      <c r="I494" s="5" t="str" cm="1">
        <f t="array" ref="I494">_xlfn.IFS(Table4[[#This Row],[Experience]]&lt;15, "7-15 YEARS",Table4[[#This Row],[Experience]]&lt;23, "15-23  YEARS",Table4[[#This Row],[Experience]]&lt;30, "23-30 YEARS",Table4[[#This Row],[Experience]]&gt;=30, "30+ YEARS")</f>
        <v>23-30 YEARS</v>
      </c>
      <c r="J494">
        <v>183906</v>
      </c>
      <c r="K494" s="5" t="str" cm="1">
        <f t="array" ref="K494">_xlfn.IFS(Table4[[#This Row],[Salary]]&lt;50000, "0-50K",Table4[[#This Row],[Salary]]&lt;100000, "50K-1L",Table4[[#This Row],[Salary]]&lt;150000, "1L-1.5L",Table4[[#This Row],[Salary]]&lt;200000, "1.5-2L",Table4[[#This Row],[Salary]]&gt;=200000, "2L+")</f>
        <v>1.5-2L</v>
      </c>
    </row>
    <row r="495" spans="1:11" x14ac:dyDescent="0.3">
      <c r="A495">
        <v>493</v>
      </c>
      <c r="B495">
        <v>3870</v>
      </c>
      <c r="C495">
        <v>42</v>
      </c>
      <c r="D495" s="5" t="str" cm="1">
        <f t="array" ref="D495">_xlfn.IFS(C495&lt;30, "20-29",C495&lt;40, "30-39",C495&lt;50, "40-49",C495&lt;60, "50-59",Table4[[#This Row],[Age]]&gt;=60, "60+"  )</f>
        <v>40-49</v>
      </c>
      <c r="E495" t="s">
        <v>12</v>
      </c>
      <c r="F495" t="b">
        <v>0</v>
      </c>
      <c r="G495" s="1">
        <v>26681</v>
      </c>
      <c r="H495">
        <v>22</v>
      </c>
      <c r="I495" s="5" t="str" cm="1">
        <f t="array" ref="I495">_xlfn.IFS(Table4[[#This Row],[Experience]]&lt;15, "7-15 YEARS",Table4[[#This Row],[Experience]]&lt;23, "15-23  YEARS",Table4[[#This Row],[Experience]]&lt;30, "23-30 YEARS",Table4[[#This Row],[Experience]]&gt;=30, "30+ YEARS")</f>
        <v>15-23  YEARS</v>
      </c>
      <c r="J495">
        <v>176978</v>
      </c>
      <c r="K495" s="5" t="str" cm="1">
        <f t="array" ref="K495">_xlfn.IFS(Table4[[#This Row],[Salary]]&lt;50000, "0-50K",Table4[[#This Row],[Salary]]&lt;100000, "50K-1L",Table4[[#This Row],[Salary]]&lt;150000, "1L-1.5L",Table4[[#This Row],[Salary]]&lt;200000, "1.5-2L",Table4[[#This Row],[Salary]]&gt;=200000, "2L+")</f>
        <v>1.5-2L</v>
      </c>
    </row>
    <row r="496" spans="1:11" x14ac:dyDescent="0.3">
      <c r="A496">
        <v>494</v>
      </c>
      <c r="B496">
        <v>3740</v>
      </c>
      <c r="C496">
        <v>59</v>
      </c>
      <c r="D496" s="5" t="str" cm="1">
        <f t="array" ref="D496">_xlfn.IFS(C496&lt;30, "20-29",C496&lt;40, "30-39",C496&lt;50, "40-49",C496&lt;60, "50-59",Table4[[#This Row],[Age]]&gt;=60, "60+"  )</f>
        <v>50-59</v>
      </c>
      <c r="E496" t="s">
        <v>11</v>
      </c>
      <c r="F496" t="b">
        <v>0</v>
      </c>
      <c r="G496" s="1">
        <v>41789</v>
      </c>
      <c r="H496">
        <v>31</v>
      </c>
      <c r="I496" s="5" t="str" cm="1">
        <f t="array" ref="I496">_xlfn.IFS(Table4[[#This Row],[Experience]]&lt;15, "7-15 YEARS",Table4[[#This Row],[Experience]]&lt;23, "15-23  YEARS",Table4[[#This Row],[Experience]]&lt;30, "23-30 YEARS",Table4[[#This Row],[Experience]]&gt;=30, "30+ YEARS")</f>
        <v>30+ YEARS</v>
      </c>
      <c r="J496">
        <v>257256</v>
      </c>
      <c r="K496" s="5" t="str" cm="1">
        <f t="array" ref="K496">_xlfn.IFS(Table4[[#This Row],[Salary]]&lt;50000, "0-50K",Table4[[#This Row],[Salary]]&lt;100000, "50K-1L",Table4[[#This Row],[Salary]]&lt;150000, "1L-1.5L",Table4[[#This Row],[Salary]]&lt;200000, "1.5-2L",Table4[[#This Row],[Salary]]&gt;=200000, "2L+")</f>
        <v>2L+</v>
      </c>
    </row>
    <row r="497" spans="1:11" x14ac:dyDescent="0.3">
      <c r="A497">
        <v>495</v>
      </c>
      <c r="B497">
        <v>8426</v>
      </c>
      <c r="C497">
        <v>32</v>
      </c>
      <c r="D497" s="5" t="str" cm="1">
        <f t="array" ref="D497">_xlfn.IFS(C497&lt;30, "20-29",C497&lt;40, "30-39",C497&lt;50, "40-49",C497&lt;60, "50-59",Table4[[#This Row],[Age]]&gt;=60, "60+"  )</f>
        <v>30-39</v>
      </c>
      <c r="E497" t="s">
        <v>10</v>
      </c>
      <c r="F497" t="b">
        <v>1</v>
      </c>
      <c r="G497" s="1">
        <v>41612</v>
      </c>
      <c r="H497">
        <v>16</v>
      </c>
      <c r="I497" s="5" t="str" cm="1">
        <f t="array" ref="I497">_xlfn.IFS(Table4[[#This Row],[Experience]]&lt;15, "7-15 YEARS",Table4[[#This Row],[Experience]]&lt;23, "15-23  YEARS",Table4[[#This Row],[Experience]]&lt;30, "23-30 YEARS",Table4[[#This Row],[Experience]]&gt;=30, "30+ YEARS")</f>
        <v>15-23  YEARS</v>
      </c>
      <c r="J497">
        <v>126088</v>
      </c>
      <c r="K497" s="5" t="str" cm="1">
        <f t="array" ref="K497">_xlfn.IFS(Table4[[#This Row],[Salary]]&lt;50000, "0-50K",Table4[[#This Row],[Salary]]&lt;100000, "50K-1L",Table4[[#This Row],[Salary]]&lt;150000, "1L-1.5L",Table4[[#This Row],[Salary]]&lt;200000, "1.5-2L",Table4[[#This Row],[Salary]]&gt;=200000, "2L+")</f>
        <v>1L-1.5L</v>
      </c>
    </row>
    <row r="498" spans="1:11" x14ac:dyDescent="0.3">
      <c r="A498">
        <v>496</v>
      </c>
      <c r="B498">
        <v>9810</v>
      </c>
      <c r="C498">
        <v>26</v>
      </c>
      <c r="D498" s="5" t="str" cm="1">
        <f t="array" ref="D498">_xlfn.IFS(C498&lt;30, "20-29",C498&lt;40, "30-39",C498&lt;50, "40-49",C498&lt;60, "50-59",Table4[[#This Row],[Age]]&gt;=60, "60+"  )</f>
        <v>20-29</v>
      </c>
      <c r="E498" t="s">
        <v>12</v>
      </c>
      <c r="F498" t="b">
        <v>1</v>
      </c>
      <c r="G498" s="1">
        <v>44683</v>
      </c>
      <c r="H498">
        <v>15</v>
      </c>
      <c r="I498" s="5" t="str" cm="1">
        <f t="array" ref="I498">_xlfn.IFS(Table4[[#This Row],[Experience]]&lt;15, "7-15 YEARS",Table4[[#This Row],[Experience]]&lt;23, "15-23  YEARS",Table4[[#This Row],[Experience]]&lt;30, "23-30 YEARS",Table4[[#This Row],[Experience]]&gt;=30, "30+ YEARS")</f>
        <v>15-23  YEARS</v>
      </c>
      <c r="J498">
        <v>118094</v>
      </c>
      <c r="K498" s="5" t="str" cm="1">
        <f t="array" ref="K498">_xlfn.IFS(Table4[[#This Row],[Salary]]&lt;50000, "0-50K",Table4[[#This Row],[Salary]]&lt;100000, "50K-1L",Table4[[#This Row],[Salary]]&lt;150000, "1L-1.5L",Table4[[#This Row],[Salary]]&lt;200000, "1.5-2L",Table4[[#This Row],[Salary]]&gt;=200000, "2L+")</f>
        <v>1L-1.5L</v>
      </c>
    </row>
    <row r="499" spans="1:11" x14ac:dyDescent="0.3">
      <c r="A499">
        <v>497</v>
      </c>
      <c r="B499">
        <v>5396</v>
      </c>
      <c r="C499">
        <v>34</v>
      </c>
      <c r="D499" s="5" t="str" cm="1">
        <f t="array" ref="D499">_xlfn.IFS(C499&lt;30, "20-29",C499&lt;40, "30-39",C499&lt;50, "40-49",C499&lt;60, "50-59",Table4[[#This Row],[Age]]&gt;=60, "60+"  )</f>
        <v>30-39</v>
      </c>
      <c r="E499" t="s">
        <v>8</v>
      </c>
      <c r="F499" t="b">
        <v>0</v>
      </c>
      <c r="G499" s="1">
        <v>45769</v>
      </c>
      <c r="H499">
        <v>16</v>
      </c>
      <c r="I499" s="5" t="str" cm="1">
        <f t="array" ref="I499">_xlfn.IFS(Table4[[#This Row],[Experience]]&lt;15, "7-15 YEARS",Table4[[#This Row],[Experience]]&lt;23, "15-23  YEARS",Table4[[#This Row],[Experience]]&lt;30, "23-30 YEARS",Table4[[#This Row],[Experience]]&gt;=30, "30+ YEARS")</f>
        <v>15-23  YEARS</v>
      </c>
      <c r="J499">
        <v>131208</v>
      </c>
      <c r="K499" s="5" t="str" cm="1">
        <f t="array" ref="K499">_xlfn.IFS(Table4[[#This Row],[Salary]]&lt;50000, "0-50K",Table4[[#This Row],[Salary]]&lt;100000, "50K-1L",Table4[[#This Row],[Salary]]&lt;150000, "1L-1.5L",Table4[[#This Row],[Salary]]&lt;200000, "1.5-2L",Table4[[#This Row],[Salary]]&gt;=200000, "2L+")</f>
        <v>1L-1.5L</v>
      </c>
    </row>
    <row r="500" spans="1:11" x14ac:dyDescent="0.3">
      <c r="A500">
        <v>498</v>
      </c>
      <c r="B500">
        <v>7546</v>
      </c>
      <c r="C500">
        <v>60</v>
      </c>
      <c r="D500" s="5" t="str" cm="1">
        <f t="array" ref="D500">_xlfn.IFS(C500&lt;30, "20-29",C500&lt;40, "30-39",C500&lt;50, "40-49",C500&lt;60, "50-59",Table4[[#This Row],[Age]]&gt;=60, "60+"  )</f>
        <v>60+</v>
      </c>
      <c r="E500" t="s">
        <v>11</v>
      </c>
      <c r="F500" t="b">
        <v>0</v>
      </c>
      <c r="G500" s="1">
        <v>25581</v>
      </c>
      <c r="H500">
        <v>28</v>
      </c>
      <c r="I500" s="5" t="str" cm="1">
        <f t="array" ref="I500">_xlfn.IFS(Table4[[#This Row],[Experience]]&lt;15, "7-15 YEARS",Table4[[#This Row],[Experience]]&lt;23, "15-23  YEARS",Table4[[#This Row],[Experience]]&lt;30, "23-30 YEARS",Table4[[#This Row],[Experience]]&gt;=30, "30+ YEARS")</f>
        <v>23-30 YEARS</v>
      </c>
      <c r="J500">
        <v>224502</v>
      </c>
      <c r="K500" s="5" t="str" cm="1">
        <f t="array" ref="K500">_xlfn.IFS(Table4[[#This Row],[Salary]]&lt;50000, "0-50K",Table4[[#This Row],[Salary]]&lt;100000, "50K-1L",Table4[[#This Row],[Salary]]&lt;150000, "1L-1.5L",Table4[[#This Row],[Salary]]&lt;200000, "1.5-2L",Table4[[#This Row],[Salary]]&gt;=200000, "2L+")</f>
        <v>2L+</v>
      </c>
    </row>
    <row r="501" spans="1:11" x14ac:dyDescent="0.3">
      <c r="A501">
        <v>499</v>
      </c>
      <c r="B501">
        <v>7744</v>
      </c>
      <c r="C501">
        <v>29</v>
      </c>
      <c r="D501" s="5" t="str" cm="1">
        <f t="array" ref="D501">_xlfn.IFS(C501&lt;30, "20-29",C501&lt;40, "30-39",C501&lt;50, "40-49",C501&lt;60, "50-59",Table4[[#This Row],[Age]]&gt;=60, "60+"  )</f>
        <v>20-29</v>
      </c>
      <c r="E501" t="s">
        <v>8</v>
      </c>
      <c r="F501" t="b">
        <v>1</v>
      </c>
      <c r="G501" s="1">
        <v>32315</v>
      </c>
      <c r="H501">
        <v>15</v>
      </c>
      <c r="I501" s="5" t="str" cm="1">
        <f t="array" ref="I501">_xlfn.IFS(Table4[[#This Row],[Experience]]&lt;15, "7-15 YEARS",Table4[[#This Row],[Experience]]&lt;23, "15-23  YEARS",Table4[[#This Row],[Experience]]&lt;30, "23-30 YEARS",Table4[[#This Row],[Experience]]&gt;=30, "30+ YEARS")</f>
        <v>15-23  YEARS</v>
      </c>
      <c r="J501">
        <v>114758</v>
      </c>
      <c r="K501" s="5" t="str" cm="1">
        <f t="array" ref="K501">_xlfn.IFS(Table4[[#This Row],[Salary]]&lt;50000, "0-50K",Table4[[#This Row],[Salary]]&lt;100000, "50K-1L",Table4[[#This Row],[Salary]]&lt;150000, "1L-1.5L",Table4[[#This Row],[Salary]]&lt;200000, "1.5-2L",Table4[[#This Row],[Salary]]&gt;=200000, "2L+")</f>
        <v>1L-1.5L</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9BADB-CB6A-4640-A0E5-998F114C2F5A}">
  <dimension ref="A1:A3"/>
  <sheetViews>
    <sheetView showGridLines="0" tabSelected="1" zoomScaleNormal="100" workbookViewId="0">
      <selection activeCell="N3" sqref="N3"/>
    </sheetView>
  </sheetViews>
  <sheetFormatPr defaultRowHeight="14.4" x14ac:dyDescent="0.3"/>
  <cols>
    <col min="1" max="16384" width="8.88671875" style="61"/>
  </cols>
  <sheetData>
    <row r="1" spans="1:1" s="63" customFormat="1" ht="58.2" customHeight="1" x14ac:dyDescent="1.2">
      <c r="A1" s="62" t="s">
        <v>16</v>
      </c>
    </row>
    <row r="2" spans="1:1" ht="20.399999999999999" customHeight="1" x14ac:dyDescent="0.3"/>
    <row r="3" spans="1:1" ht="93.6" customHeight="1" x14ac:dyDescent="0.3"/>
  </sheetData>
  <mergeCells count="1">
    <mergeCell ref="A1:XFD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F118E-45FA-4F96-89E2-24676817B532}">
  <dimension ref="A2:AD26"/>
  <sheetViews>
    <sheetView showGridLines="0" workbookViewId="0">
      <selection activeCell="K6" sqref="K6"/>
    </sheetView>
  </sheetViews>
  <sheetFormatPr defaultRowHeight="14.4" x14ac:dyDescent="0.3"/>
  <cols>
    <col min="1" max="1" width="10.33203125" customWidth="1"/>
    <col min="2" max="5" width="11.33203125" customWidth="1"/>
    <col min="6" max="7" width="10.33203125" customWidth="1"/>
    <col min="8" max="8" width="10.6640625" bestFit="1" customWidth="1"/>
    <col min="9" max="9" width="10.33203125" customWidth="1"/>
    <col min="10" max="12" width="11.33203125" customWidth="1"/>
    <col min="13" max="13" width="57.6640625" bestFit="1" customWidth="1"/>
    <col min="14" max="14" width="106.33203125" bestFit="1" customWidth="1"/>
    <col min="15" max="15" width="21.5546875" customWidth="1"/>
    <col min="16" max="16" width="11.33203125" customWidth="1"/>
    <col min="17" max="17" width="39.44140625" customWidth="1"/>
    <col min="18" max="26" width="11.33203125" customWidth="1"/>
    <col min="27" max="28" width="12.44140625" customWidth="1"/>
  </cols>
  <sheetData>
    <row r="2" spans="1:30" ht="23.4" x14ac:dyDescent="0.45">
      <c r="B2" s="22"/>
      <c r="C2" s="16" t="s">
        <v>93</v>
      </c>
      <c r="D2" s="23"/>
      <c r="E2" s="23"/>
      <c r="F2" s="23"/>
      <c r="G2" s="23"/>
      <c r="H2" s="22"/>
      <c r="M2" s="17" t="s">
        <v>163</v>
      </c>
    </row>
    <row r="3" spans="1:30" ht="10.199999999999999" customHeight="1" x14ac:dyDescent="0.3">
      <c r="A3" s="20"/>
      <c r="B3" s="20"/>
      <c r="C3" s="20"/>
      <c r="D3" s="20"/>
      <c r="E3" s="20"/>
      <c r="F3" s="20"/>
      <c r="G3" s="20"/>
      <c r="H3" s="20"/>
      <c r="I3" s="20"/>
      <c r="J3" s="20"/>
      <c r="K3" s="20"/>
    </row>
    <row r="4" spans="1:30" ht="18" customHeight="1" x14ac:dyDescent="0.3">
      <c r="A4" s="25" t="s">
        <v>94</v>
      </c>
      <c r="B4" s="25"/>
      <c r="C4" s="25"/>
      <c r="D4" s="25"/>
      <c r="E4" s="25"/>
      <c r="F4" s="25">
        <f>COUNT(Table4[Employee_ID])</f>
        <v>500</v>
      </c>
      <c r="G4" s="20"/>
      <c r="H4" s="20"/>
      <c r="I4" s="20"/>
      <c r="J4" s="20"/>
      <c r="K4" s="20"/>
      <c r="L4" s="15"/>
      <c r="M4" s="15" t="s">
        <v>164</v>
      </c>
    </row>
    <row r="5" spans="1:30" ht="24.6" customHeight="1" x14ac:dyDescent="0.3">
      <c r="A5" s="20"/>
      <c r="B5" s="20"/>
      <c r="C5" s="20"/>
      <c r="D5" s="20"/>
      <c r="E5" s="20"/>
      <c r="F5" s="26"/>
      <c r="G5" s="24" t="s">
        <v>99</v>
      </c>
      <c r="H5" s="24" t="s">
        <v>100</v>
      </c>
      <c r="I5" s="24" t="s">
        <v>101</v>
      </c>
      <c r="J5" s="24" t="s">
        <v>11</v>
      </c>
      <c r="K5" s="24" t="s">
        <v>12</v>
      </c>
      <c r="L5" s="15"/>
      <c r="M5" s="56" t="s">
        <v>165</v>
      </c>
    </row>
    <row r="6" spans="1:30" ht="54" customHeight="1" x14ac:dyDescent="0.3">
      <c r="A6" s="27" t="s">
        <v>95</v>
      </c>
      <c r="B6" s="27"/>
      <c r="C6" s="27"/>
      <c r="D6" s="27"/>
      <c r="E6" s="27"/>
      <c r="F6" s="27"/>
      <c r="G6" s="32">
        <f>COUNTIF(Table4[Department],'New data'!E499)</f>
        <v>102</v>
      </c>
      <c r="H6" s="32">
        <f>COUNTIF(Table4[Department],'New data'!E492)</f>
        <v>95</v>
      </c>
      <c r="I6" s="32">
        <f>COUNTIF(Table4[Department],'New data'!E481)</f>
        <v>106</v>
      </c>
      <c r="J6" s="32">
        <f>COUNTIF(Table4[Department],'New data'!E487)</f>
        <v>87</v>
      </c>
      <c r="K6" s="32">
        <f>COUNTIF(Table4[Department],'New data'!E483)</f>
        <v>110</v>
      </c>
      <c r="L6" s="15"/>
      <c r="M6" s="57" t="s">
        <v>166</v>
      </c>
    </row>
    <row r="7" spans="1:30" ht="51" customHeight="1" x14ac:dyDescent="0.3">
      <c r="A7" s="28" t="s">
        <v>96</v>
      </c>
      <c r="B7" s="28"/>
      <c r="C7" s="28"/>
      <c r="D7" s="28"/>
      <c r="E7" s="28"/>
      <c r="F7" s="28"/>
      <c r="G7" s="32">
        <f>COUNTIFS(Table4[Is_Manager],'New data'!F481,Table4[Department],'New data'!E501)</f>
        <v>45</v>
      </c>
      <c r="H7" s="32">
        <f>COUNTIFS(Table4[Is_Manager],'New data'!F481,Table4[Department],'New data'!E482)</f>
        <v>47</v>
      </c>
      <c r="I7" s="32">
        <f>COUNTIFS(Table4[Department],'New data'!E481,Table4[Is_Manager],'New data'!F481)</f>
        <v>60</v>
      </c>
      <c r="J7" s="32">
        <f>COUNTIFS(Table4[Is_Manager],'New data'!F481,Table4[Department],'New data'!E475)</f>
        <v>46</v>
      </c>
      <c r="K7" s="32">
        <f>COUNTIFS(Table4[Is_Manager],'New data'!F479,Table4[Department],'New data'!E480)</f>
        <v>59</v>
      </c>
      <c r="L7" s="15"/>
      <c r="M7" s="58" t="s">
        <v>167</v>
      </c>
    </row>
    <row r="8" spans="1:30" ht="15.6" x14ac:dyDescent="0.3">
      <c r="A8" s="25"/>
      <c r="B8" s="25"/>
      <c r="C8" s="25"/>
      <c r="D8" s="25"/>
      <c r="E8" s="25"/>
      <c r="F8" s="25"/>
      <c r="G8" s="20"/>
      <c r="H8" s="20"/>
      <c r="I8" s="20"/>
      <c r="J8" s="20"/>
      <c r="K8" s="20"/>
      <c r="L8" s="15"/>
      <c r="M8" s="15" t="s">
        <v>168</v>
      </c>
    </row>
    <row r="9" spans="1:30" ht="21.6" customHeight="1" x14ac:dyDescent="0.3">
      <c r="A9" s="25" t="s">
        <v>97</v>
      </c>
      <c r="B9" s="25"/>
      <c r="C9" s="25"/>
      <c r="D9" s="25"/>
      <c r="E9" s="25"/>
      <c r="F9" s="25"/>
      <c r="G9" s="25">
        <f>AVERAGE(Table4[Experience])</f>
        <v>21.315999999999999</v>
      </c>
      <c r="H9" s="25"/>
      <c r="I9" s="25"/>
      <c r="J9" s="25"/>
      <c r="K9" s="20"/>
      <c r="L9" s="15"/>
      <c r="M9" s="56" t="s">
        <v>169</v>
      </c>
    </row>
    <row r="10" spans="1:30" s="8" customFormat="1" ht="61.2" customHeight="1" x14ac:dyDescent="0.3">
      <c r="A10" s="52" t="s">
        <v>98</v>
      </c>
      <c r="B10" s="52"/>
      <c r="C10" s="52"/>
      <c r="D10" s="52"/>
      <c r="E10" s="52"/>
      <c r="F10" s="52"/>
      <c r="G10" s="52">
        <f>AVERAGEIF(Table4[Is_Manager],'New data'!F479,Table4[Salary])</f>
        <v>171841.03891050583</v>
      </c>
      <c r="I10" s="52">
        <f>AVERAGEIF(Table4[Is_Manager],'New data'!F475,Table4[Salary])</f>
        <v>169358.1851851852</v>
      </c>
      <c r="K10" s="53"/>
      <c r="L10" s="59"/>
      <c r="M10" s="60" t="s">
        <v>171</v>
      </c>
      <c r="N10" s="8" t="s">
        <v>170</v>
      </c>
    </row>
    <row r="12" spans="1:30" ht="23.4" x14ac:dyDescent="0.45">
      <c r="A12" s="11"/>
      <c r="B12" s="12" t="s">
        <v>102</v>
      </c>
      <c r="C12" s="13"/>
      <c r="D12" s="13"/>
      <c r="E12" s="13"/>
      <c r="F12" s="13"/>
      <c r="G12" s="13"/>
      <c r="O12" s="21"/>
      <c r="P12" s="21"/>
      <c r="Q12" s="21"/>
      <c r="R12" s="21"/>
      <c r="S12" s="21"/>
    </row>
    <row r="13" spans="1:30" ht="23.4" x14ac:dyDescent="0.45">
      <c r="A13" s="19" t="s">
        <v>103</v>
      </c>
      <c r="B13" s="19"/>
      <c r="C13" s="19"/>
      <c r="D13" s="19"/>
      <c r="E13" s="20"/>
      <c r="F13" s="20"/>
      <c r="G13" s="20"/>
      <c r="J13" s="30"/>
      <c r="K13" s="16" t="s">
        <v>110</v>
      </c>
      <c r="L13" s="31"/>
      <c r="M13" s="30"/>
      <c r="N13" s="18" t="s">
        <v>130</v>
      </c>
      <c r="O13" s="10"/>
      <c r="P13" s="10"/>
      <c r="Q13" s="10"/>
      <c r="R13" s="10"/>
      <c r="S13" s="10"/>
      <c r="U13" s="10"/>
      <c r="V13" s="10"/>
      <c r="W13" s="10"/>
      <c r="X13" s="15"/>
      <c r="Y13" s="15"/>
      <c r="AC13" s="15"/>
      <c r="AD13" s="15"/>
    </row>
    <row r="14" spans="1:30" ht="15.6" x14ac:dyDescent="0.3">
      <c r="A14" s="19" t="s">
        <v>104</v>
      </c>
      <c r="B14" s="19"/>
      <c r="C14" s="19"/>
      <c r="D14" s="19"/>
      <c r="E14" s="20"/>
      <c r="F14" s="20"/>
      <c r="G14" s="20"/>
      <c r="J14" s="10" t="s">
        <v>111</v>
      </c>
      <c r="K14" s="10"/>
      <c r="L14" s="10"/>
      <c r="M14" s="10"/>
      <c r="N14" s="10" t="s">
        <v>112</v>
      </c>
      <c r="O14" s="10"/>
      <c r="P14" s="10"/>
      <c r="Q14" s="10"/>
      <c r="R14" s="10"/>
      <c r="S14" s="10"/>
      <c r="U14" s="10"/>
      <c r="V14" s="10"/>
      <c r="W14" s="10"/>
      <c r="X14" s="15"/>
      <c r="Y14" s="15"/>
      <c r="AC14" s="15"/>
      <c r="AD14" s="15"/>
    </row>
    <row r="15" spans="1:30" ht="15.6" x14ac:dyDescent="0.3">
      <c r="A15" s="19" t="s">
        <v>105</v>
      </c>
      <c r="B15" s="19"/>
      <c r="C15" s="19"/>
      <c r="D15" s="19"/>
      <c r="E15" s="20"/>
      <c r="F15" s="20"/>
      <c r="G15" s="20"/>
      <c r="J15" s="10" t="s">
        <v>113</v>
      </c>
      <c r="K15" s="10"/>
      <c r="L15" s="10"/>
      <c r="M15" s="10"/>
      <c r="N15" s="10" t="s">
        <v>114</v>
      </c>
      <c r="O15" s="10"/>
      <c r="P15" s="10"/>
      <c r="Q15" s="10"/>
      <c r="R15" s="10"/>
      <c r="S15" s="10"/>
      <c r="U15" s="10"/>
      <c r="V15" s="10"/>
      <c r="W15" s="10"/>
      <c r="X15" s="15"/>
      <c r="Y15" s="15"/>
      <c r="AC15" s="15"/>
      <c r="AD15" s="15"/>
    </row>
    <row r="16" spans="1:30" ht="15.6" x14ac:dyDescent="0.3">
      <c r="A16" s="19" t="s">
        <v>106</v>
      </c>
      <c r="B16" s="19"/>
      <c r="C16" s="19"/>
      <c r="D16" s="19"/>
      <c r="E16" s="20"/>
      <c r="F16" s="20"/>
      <c r="G16" s="20"/>
      <c r="J16" s="10" t="s">
        <v>116</v>
      </c>
      <c r="K16" s="10"/>
      <c r="L16" s="10"/>
      <c r="M16" s="10"/>
      <c r="N16" s="10" t="s">
        <v>117</v>
      </c>
      <c r="O16" s="10"/>
      <c r="P16" s="10"/>
      <c r="Q16" s="10"/>
      <c r="R16" s="10"/>
      <c r="S16" s="10"/>
      <c r="U16" s="10"/>
      <c r="V16" s="10"/>
      <c r="W16" s="10"/>
      <c r="X16" s="15"/>
      <c r="Y16" s="15"/>
      <c r="AC16" s="15"/>
      <c r="AD16" s="15"/>
    </row>
    <row r="17" spans="1:30" ht="15.6" x14ac:dyDescent="0.3">
      <c r="A17" s="19" t="s">
        <v>107</v>
      </c>
      <c r="B17" s="19"/>
      <c r="C17" s="19"/>
      <c r="D17" s="19"/>
      <c r="E17" s="20"/>
      <c r="F17" s="20"/>
      <c r="G17" s="20"/>
      <c r="J17" s="10" t="s">
        <v>115</v>
      </c>
      <c r="K17" s="10"/>
      <c r="L17" s="10"/>
      <c r="M17" s="10"/>
      <c r="N17" s="10"/>
      <c r="O17" s="10"/>
      <c r="P17" s="10"/>
      <c r="Q17" s="10"/>
      <c r="R17" s="10"/>
      <c r="S17" s="10"/>
      <c r="U17" s="10"/>
      <c r="V17" s="10"/>
      <c r="W17" s="10"/>
      <c r="X17" s="15"/>
      <c r="Y17" s="15"/>
      <c r="AC17" s="15"/>
      <c r="AD17" s="15"/>
    </row>
    <row r="18" spans="1:30" ht="15.6" x14ac:dyDescent="0.3">
      <c r="A18" s="19" t="s">
        <v>108</v>
      </c>
      <c r="B18" s="19"/>
      <c r="C18" s="19"/>
      <c r="D18" s="19"/>
      <c r="E18" s="20"/>
      <c r="F18" s="20"/>
      <c r="G18" s="20"/>
      <c r="J18" s="10" t="s">
        <v>118</v>
      </c>
      <c r="K18" s="10"/>
      <c r="L18" s="10"/>
      <c r="M18" s="10"/>
      <c r="N18" s="10" t="s">
        <v>119</v>
      </c>
      <c r="O18" s="10"/>
      <c r="P18" s="10"/>
      <c r="Q18" s="10"/>
      <c r="R18" s="10"/>
      <c r="S18" s="10"/>
      <c r="U18" s="10"/>
      <c r="V18" s="10"/>
      <c r="W18" s="10"/>
      <c r="X18" s="15"/>
      <c r="Y18" s="15"/>
      <c r="AC18" s="15"/>
      <c r="AD18" s="15"/>
    </row>
    <row r="19" spans="1:30" ht="15.6" x14ac:dyDescent="0.3">
      <c r="A19" s="19" t="s">
        <v>109</v>
      </c>
      <c r="B19" s="19"/>
      <c r="C19" s="19"/>
      <c r="D19" s="19"/>
      <c r="E19" s="20"/>
      <c r="F19" s="20"/>
      <c r="G19" s="20"/>
      <c r="J19" s="10" t="s">
        <v>120</v>
      </c>
      <c r="K19" s="10"/>
      <c r="L19" s="10"/>
      <c r="M19" s="10"/>
      <c r="N19" s="10" t="s">
        <v>121</v>
      </c>
      <c r="O19" s="10"/>
      <c r="P19" s="10"/>
      <c r="Q19" s="10"/>
      <c r="R19" s="10"/>
      <c r="S19" s="10"/>
      <c r="U19" s="10"/>
      <c r="V19" s="10"/>
      <c r="W19" s="10"/>
      <c r="X19" s="15"/>
      <c r="Y19" s="15"/>
      <c r="AC19" s="15"/>
      <c r="AD19" s="15"/>
    </row>
    <row r="20" spans="1:30" ht="15.6" x14ac:dyDescent="0.3">
      <c r="J20" s="10" t="s">
        <v>122</v>
      </c>
      <c r="K20" s="10"/>
      <c r="L20" s="10"/>
      <c r="M20" s="10"/>
      <c r="N20" s="10" t="s">
        <v>123</v>
      </c>
      <c r="O20" s="10"/>
      <c r="P20" s="10"/>
      <c r="Q20" s="10"/>
      <c r="R20" s="10"/>
      <c r="S20" s="10"/>
      <c r="U20" s="10"/>
      <c r="V20" s="10"/>
      <c r="W20" s="10"/>
      <c r="X20" s="15"/>
      <c r="Y20" s="15"/>
      <c r="AC20" s="15"/>
      <c r="AD20" s="15"/>
    </row>
    <row r="21" spans="1:30" ht="15.6" x14ac:dyDescent="0.3">
      <c r="J21" s="10" t="s">
        <v>124</v>
      </c>
      <c r="K21" s="10"/>
      <c r="L21" s="10"/>
      <c r="M21" s="10"/>
      <c r="N21" s="10" t="s">
        <v>125</v>
      </c>
      <c r="O21" s="10"/>
      <c r="P21" s="10"/>
      <c r="Q21" s="10"/>
      <c r="R21" s="10"/>
      <c r="S21" s="10"/>
      <c r="U21" s="10"/>
      <c r="V21" s="10"/>
      <c r="W21" s="10"/>
      <c r="X21" s="15"/>
      <c r="Y21" s="15"/>
      <c r="AC21" s="15"/>
      <c r="AD21" s="15"/>
    </row>
    <row r="22" spans="1:30" ht="15.6" x14ac:dyDescent="0.3">
      <c r="J22" s="10" t="s">
        <v>126</v>
      </c>
      <c r="K22" s="10"/>
      <c r="L22" s="10"/>
      <c r="M22" s="10"/>
      <c r="N22" s="10" t="s">
        <v>127</v>
      </c>
      <c r="O22" s="10"/>
      <c r="P22" s="10"/>
      <c r="Q22" s="10"/>
      <c r="R22" s="10"/>
      <c r="S22" s="10"/>
      <c r="U22" s="10"/>
      <c r="V22" s="10"/>
      <c r="W22" s="10"/>
      <c r="X22" s="15"/>
      <c r="Y22" s="15"/>
      <c r="AC22" s="15"/>
      <c r="AD22" s="15"/>
    </row>
    <row r="23" spans="1:30" ht="15.6" x14ac:dyDescent="0.3">
      <c r="J23" s="10" t="s">
        <v>128</v>
      </c>
      <c r="K23" s="10"/>
      <c r="L23" s="10"/>
      <c r="M23" s="10"/>
      <c r="N23" s="10" t="s">
        <v>129</v>
      </c>
    </row>
    <row r="24" spans="1:30" ht="15.6" x14ac:dyDescent="0.3">
      <c r="J24" s="10" t="s">
        <v>131</v>
      </c>
      <c r="K24" s="10"/>
      <c r="L24" s="10"/>
      <c r="M24" s="10"/>
      <c r="N24" s="10" t="s">
        <v>136</v>
      </c>
    </row>
    <row r="25" spans="1:30" ht="15.6" x14ac:dyDescent="0.3">
      <c r="J25" s="10" t="s">
        <v>132</v>
      </c>
      <c r="K25" s="10"/>
      <c r="L25" s="10"/>
      <c r="M25" s="10"/>
      <c r="N25" s="10" t="s">
        <v>133</v>
      </c>
    </row>
    <row r="26" spans="1:30" ht="15.6" x14ac:dyDescent="0.3">
      <c r="J26" s="10" t="s">
        <v>134</v>
      </c>
      <c r="K26" s="10"/>
      <c r="L26" s="10"/>
      <c r="M26" s="10"/>
      <c r="N26" s="10" t="s">
        <v>135</v>
      </c>
    </row>
  </sheetData>
  <phoneticPr fontId="27" type="noConversion"/>
  <pageMargins left="0.7" right="0.7" top="0.75" bottom="0.75" header="0.3" footer="0.3"/>
  <tableParts count="5">
    <tablePart r:id="rId1"/>
    <tablePart r:id="rId2"/>
    <tablePart r:id="rId3"/>
    <tablePart r:id="rId4"/>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8F163-CB29-430A-94EE-EE29D89978C5}">
  <dimension ref="A1:AJO20"/>
  <sheetViews>
    <sheetView showGridLines="0" workbookViewId="0">
      <selection activeCell="H16" sqref="H16"/>
    </sheetView>
  </sheetViews>
  <sheetFormatPr defaultRowHeight="14.4" x14ac:dyDescent="0.3"/>
  <cols>
    <col min="3" max="3" width="9.88671875" bestFit="1" customWidth="1"/>
  </cols>
  <sheetData>
    <row r="1" spans="1:951" s="6" customFormat="1" ht="47.4" x14ac:dyDescent="0.9">
      <c r="A1" s="20"/>
      <c r="I1" s="48"/>
      <c r="J1" s="49" t="s">
        <v>137</v>
      </c>
      <c r="K1" s="48"/>
      <c r="L1" s="48"/>
      <c r="M1" s="48"/>
      <c r="N1" s="48"/>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c r="CC1" s="20"/>
      <c r="CD1" s="20"/>
      <c r="CE1" s="20"/>
      <c r="CF1" s="20"/>
      <c r="CG1" s="20"/>
      <c r="CH1" s="20"/>
      <c r="CI1" s="20"/>
      <c r="CJ1" s="20"/>
      <c r="CK1" s="20"/>
      <c r="CL1" s="20"/>
      <c r="CM1" s="20"/>
      <c r="CN1" s="20"/>
      <c r="CO1" s="20"/>
      <c r="CP1" s="20"/>
      <c r="CQ1" s="20"/>
      <c r="CR1" s="20"/>
      <c r="CS1" s="20"/>
      <c r="CT1" s="20"/>
      <c r="CU1" s="20"/>
      <c r="CV1" s="20"/>
      <c r="CW1" s="20"/>
      <c r="CX1" s="20"/>
      <c r="CY1" s="20"/>
      <c r="CZ1" s="20"/>
      <c r="DA1" s="20"/>
      <c r="DB1" s="20"/>
      <c r="DC1" s="20"/>
      <c r="DD1" s="20"/>
      <c r="DE1" s="20"/>
      <c r="DF1" s="20"/>
      <c r="DG1" s="20"/>
      <c r="DH1" s="20"/>
      <c r="DI1" s="20"/>
      <c r="DJ1" s="20"/>
      <c r="DK1" s="20"/>
      <c r="DL1" s="20"/>
      <c r="DM1" s="20"/>
      <c r="DN1" s="20"/>
      <c r="DO1" s="20"/>
      <c r="DP1" s="20"/>
      <c r="DQ1" s="20"/>
      <c r="DR1" s="20"/>
      <c r="DS1" s="20"/>
      <c r="DT1" s="20"/>
      <c r="DU1" s="20"/>
      <c r="DV1" s="20"/>
      <c r="DW1" s="20"/>
      <c r="DX1" s="20"/>
      <c r="DY1" s="20"/>
      <c r="DZ1" s="20"/>
      <c r="EA1" s="20"/>
      <c r="EB1" s="20"/>
      <c r="EC1" s="20"/>
      <c r="ED1" s="20"/>
      <c r="EE1" s="20"/>
      <c r="EF1" s="20"/>
      <c r="EG1" s="20"/>
      <c r="EH1" s="20"/>
      <c r="EI1" s="20"/>
      <c r="EJ1" s="20"/>
      <c r="EK1" s="20"/>
      <c r="EL1" s="20"/>
      <c r="EM1" s="20"/>
      <c r="EN1" s="20"/>
      <c r="EO1" s="20"/>
      <c r="EP1" s="20"/>
      <c r="EQ1" s="20"/>
      <c r="ER1" s="20"/>
      <c r="ES1" s="20"/>
      <c r="ET1" s="20"/>
      <c r="EU1" s="20"/>
      <c r="EV1" s="20"/>
      <c r="EW1" s="20"/>
      <c r="EX1" s="20"/>
      <c r="EY1" s="20"/>
      <c r="EZ1" s="20"/>
      <c r="FA1" s="20"/>
      <c r="FB1" s="20"/>
      <c r="FC1" s="20"/>
      <c r="FD1" s="20"/>
      <c r="FE1" s="20"/>
      <c r="FF1" s="20"/>
      <c r="FG1" s="20"/>
      <c r="FH1" s="20"/>
      <c r="FI1" s="20"/>
      <c r="FJ1" s="20"/>
      <c r="FK1" s="20"/>
      <c r="FL1" s="20"/>
      <c r="FM1" s="20"/>
      <c r="FN1" s="20"/>
      <c r="FO1" s="20"/>
      <c r="FP1" s="20"/>
      <c r="FQ1" s="20"/>
      <c r="FR1" s="20"/>
      <c r="FS1" s="20"/>
      <c r="FT1" s="20"/>
      <c r="FU1" s="20"/>
      <c r="FV1" s="20"/>
      <c r="FW1" s="20"/>
      <c r="FX1" s="20"/>
      <c r="FY1" s="20"/>
      <c r="FZ1" s="20"/>
      <c r="GA1" s="20"/>
      <c r="GB1" s="20"/>
      <c r="GC1" s="20"/>
      <c r="GD1" s="20"/>
      <c r="GE1" s="20"/>
      <c r="GF1" s="20"/>
      <c r="GG1" s="20"/>
      <c r="GH1" s="20"/>
      <c r="GI1" s="20"/>
      <c r="GJ1" s="20"/>
      <c r="GK1" s="20"/>
      <c r="GL1" s="20"/>
      <c r="GM1" s="20"/>
      <c r="GN1" s="20"/>
      <c r="GO1" s="20"/>
      <c r="GP1" s="20"/>
      <c r="GQ1" s="20"/>
      <c r="GR1" s="20"/>
      <c r="GS1" s="20"/>
      <c r="GT1" s="20"/>
      <c r="GU1" s="20"/>
      <c r="GV1" s="20"/>
      <c r="GW1" s="20"/>
      <c r="GX1" s="20"/>
      <c r="GY1" s="20"/>
      <c r="GZ1" s="20"/>
      <c r="HA1" s="20"/>
      <c r="HB1" s="20"/>
      <c r="HC1" s="20"/>
      <c r="HD1" s="20"/>
      <c r="HE1" s="20"/>
      <c r="HF1" s="20"/>
      <c r="HG1" s="20"/>
      <c r="HH1" s="20"/>
      <c r="HI1" s="20"/>
      <c r="HJ1" s="20"/>
      <c r="HK1" s="20"/>
      <c r="HL1" s="20"/>
      <c r="HM1" s="20"/>
      <c r="HN1" s="20"/>
      <c r="HO1" s="20"/>
      <c r="HP1" s="20"/>
      <c r="HQ1" s="20"/>
      <c r="HR1" s="20"/>
      <c r="HS1" s="20"/>
      <c r="HT1" s="20"/>
      <c r="HU1" s="20"/>
      <c r="HV1" s="20"/>
      <c r="HW1" s="20"/>
      <c r="HX1" s="20"/>
      <c r="HY1" s="20"/>
      <c r="HZ1" s="20"/>
      <c r="IA1" s="20"/>
      <c r="IB1" s="20"/>
      <c r="IC1" s="20"/>
      <c r="ID1" s="20"/>
      <c r="IE1" s="20"/>
      <c r="IF1" s="20"/>
      <c r="IG1" s="20"/>
      <c r="IH1" s="20"/>
      <c r="II1" s="20"/>
      <c r="IJ1" s="20"/>
      <c r="IK1" s="20"/>
      <c r="IL1" s="20"/>
      <c r="IM1" s="20"/>
      <c r="IN1" s="20"/>
      <c r="IO1" s="20"/>
      <c r="IP1" s="20"/>
      <c r="IQ1" s="20"/>
      <c r="IR1" s="20"/>
      <c r="IS1" s="20"/>
      <c r="IT1" s="20"/>
      <c r="IU1" s="20"/>
      <c r="IV1" s="20"/>
      <c r="IW1" s="20"/>
      <c r="IX1" s="20"/>
      <c r="IY1" s="20"/>
      <c r="IZ1" s="20"/>
      <c r="JA1" s="20"/>
      <c r="JB1" s="20"/>
      <c r="JC1" s="20"/>
      <c r="JD1" s="20"/>
      <c r="JE1" s="20"/>
      <c r="JF1" s="20"/>
      <c r="JG1" s="20"/>
      <c r="JH1" s="20"/>
      <c r="JI1" s="20"/>
      <c r="JJ1" s="20"/>
      <c r="JK1" s="20"/>
      <c r="JL1" s="20"/>
      <c r="JM1" s="20"/>
      <c r="JN1" s="20"/>
      <c r="JO1" s="20"/>
      <c r="JP1" s="20"/>
      <c r="JQ1" s="20"/>
      <c r="JR1" s="20"/>
      <c r="JS1" s="20"/>
      <c r="JT1" s="20"/>
      <c r="JU1" s="20"/>
      <c r="JV1" s="20"/>
      <c r="JW1" s="20"/>
      <c r="JX1" s="20"/>
      <c r="JY1" s="20"/>
      <c r="JZ1" s="20"/>
      <c r="KA1" s="20"/>
      <c r="KB1" s="20"/>
      <c r="KC1" s="20"/>
      <c r="KD1" s="20"/>
      <c r="KE1" s="20"/>
      <c r="KF1" s="20"/>
      <c r="KG1" s="20"/>
      <c r="KH1" s="20"/>
      <c r="KI1" s="20"/>
      <c r="KJ1" s="20"/>
      <c r="KK1" s="20"/>
      <c r="KL1" s="20"/>
      <c r="KM1" s="20"/>
      <c r="KN1" s="20"/>
      <c r="KO1" s="20"/>
      <c r="KP1" s="20"/>
      <c r="KQ1" s="20"/>
      <c r="KR1" s="20"/>
      <c r="KS1" s="20"/>
      <c r="KT1" s="20"/>
      <c r="KU1" s="20"/>
      <c r="KV1" s="20"/>
      <c r="KW1" s="20"/>
      <c r="KX1" s="20"/>
      <c r="KY1" s="20"/>
      <c r="KZ1" s="20"/>
      <c r="LA1" s="20"/>
      <c r="LB1" s="20"/>
      <c r="LC1" s="20"/>
      <c r="LD1" s="20"/>
      <c r="LE1" s="20"/>
      <c r="LF1" s="20"/>
      <c r="LG1" s="20"/>
      <c r="LH1" s="20"/>
      <c r="LI1" s="20"/>
      <c r="LJ1" s="20"/>
      <c r="LK1" s="20"/>
      <c r="LL1" s="20"/>
      <c r="LM1" s="20"/>
      <c r="LN1" s="20"/>
      <c r="LO1" s="20"/>
      <c r="LP1" s="20"/>
      <c r="LQ1" s="20"/>
      <c r="LR1" s="20"/>
      <c r="LS1" s="20"/>
      <c r="LT1" s="20"/>
      <c r="LU1" s="20"/>
      <c r="LV1" s="20"/>
      <c r="LW1" s="20"/>
      <c r="LX1" s="20"/>
      <c r="LY1" s="20"/>
      <c r="LZ1" s="20"/>
      <c r="MA1" s="20"/>
      <c r="MB1" s="20"/>
      <c r="MC1" s="20"/>
      <c r="MD1" s="20"/>
      <c r="ME1" s="20"/>
      <c r="MF1" s="20"/>
      <c r="MG1" s="20"/>
      <c r="MH1" s="20"/>
      <c r="MI1" s="20"/>
      <c r="MJ1" s="20"/>
      <c r="MK1" s="20"/>
      <c r="ML1" s="20"/>
      <c r="MM1" s="20"/>
      <c r="MN1" s="20"/>
      <c r="MO1" s="20"/>
      <c r="MP1" s="20"/>
      <c r="MQ1" s="20"/>
      <c r="MR1" s="20"/>
      <c r="MS1" s="20"/>
      <c r="MT1" s="20"/>
      <c r="MU1" s="20"/>
      <c r="MV1" s="20"/>
      <c r="MW1" s="20"/>
      <c r="MX1" s="20"/>
      <c r="MY1" s="20"/>
      <c r="MZ1" s="20"/>
      <c r="NA1" s="20"/>
      <c r="NB1" s="20"/>
      <c r="NC1" s="20"/>
      <c r="ND1" s="20"/>
      <c r="NE1" s="20"/>
      <c r="NF1" s="20"/>
      <c r="NG1" s="20"/>
      <c r="NH1" s="20"/>
      <c r="NI1" s="20"/>
      <c r="NJ1" s="20"/>
      <c r="NK1" s="20"/>
      <c r="NL1" s="20"/>
      <c r="NM1" s="20"/>
      <c r="NN1" s="20"/>
      <c r="NO1" s="20"/>
      <c r="NP1" s="20"/>
      <c r="NQ1" s="20"/>
      <c r="NR1" s="20"/>
      <c r="NS1" s="20"/>
      <c r="NT1" s="20"/>
      <c r="NU1" s="20"/>
      <c r="NV1" s="20"/>
      <c r="NW1" s="20"/>
      <c r="NX1" s="20"/>
      <c r="NY1" s="20"/>
      <c r="NZ1" s="20"/>
      <c r="OA1" s="20"/>
      <c r="OB1" s="20"/>
      <c r="OC1" s="20"/>
      <c r="OD1" s="20"/>
      <c r="OE1" s="20"/>
      <c r="OF1" s="20"/>
      <c r="OG1" s="20"/>
      <c r="OH1" s="20"/>
      <c r="OI1" s="20"/>
      <c r="OJ1" s="20"/>
      <c r="OK1" s="20"/>
      <c r="OL1" s="20"/>
      <c r="OM1" s="20"/>
      <c r="ON1" s="20"/>
      <c r="OO1" s="20"/>
      <c r="OP1" s="20"/>
      <c r="OQ1" s="20"/>
      <c r="OR1" s="20"/>
      <c r="OS1" s="20"/>
      <c r="OT1" s="20"/>
      <c r="OU1" s="20"/>
      <c r="OV1" s="20"/>
      <c r="OW1" s="20"/>
      <c r="OX1" s="20"/>
      <c r="OY1" s="20"/>
      <c r="OZ1" s="20"/>
      <c r="PA1" s="20"/>
      <c r="PB1" s="20"/>
      <c r="PC1" s="20"/>
      <c r="PD1" s="20"/>
      <c r="PE1" s="20"/>
      <c r="PF1" s="20"/>
      <c r="PG1" s="20"/>
      <c r="PH1" s="20"/>
      <c r="PI1" s="20"/>
      <c r="PJ1" s="20"/>
      <c r="PK1" s="20"/>
      <c r="PL1" s="20"/>
      <c r="PM1" s="20"/>
      <c r="PN1" s="20"/>
      <c r="PO1" s="20"/>
      <c r="PP1" s="20"/>
      <c r="PQ1" s="20"/>
      <c r="PR1" s="20"/>
      <c r="PS1" s="20"/>
      <c r="PT1" s="20"/>
      <c r="PU1" s="20"/>
      <c r="PV1" s="20"/>
      <c r="PW1" s="20"/>
      <c r="PX1" s="20"/>
      <c r="PY1" s="20"/>
      <c r="PZ1" s="20"/>
      <c r="QA1" s="20"/>
      <c r="QB1" s="20"/>
      <c r="QC1" s="20"/>
      <c r="QD1" s="20"/>
      <c r="QE1" s="20"/>
      <c r="QF1" s="20"/>
      <c r="QG1" s="20"/>
      <c r="QH1" s="20"/>
      <c r="QI1" s="20"/>
      <c r="QJ1" s="20"/>
      <c r="QK1" s="20"/>
      <c r="QL1" s="20"/>
      <c r="QM1" s="20"/>
      <c r="QN1" s="20"/>
      <c r="QO1" s="20"/>
      <c r="QP1" s="20"/>
      <c r="QQ1" s="20"/>
      <c r="QR1" s="20"/>
      <c r="QS1" s="20"/>
      <c r="QT1" s="20"/>
      <c r="QU1" s="20"/>
      <c r="QV1" s="20"/>
      <c r="QW1" s="20"/>
      <c r="QX1" s="20"/>
      <c r="QY1" s="20"/>
      <c r="QZ1" s="20"/>
      <c r="RA1" s="20"/>
      <c r="RB1" s="20"/>
      <c r="RC1" s="20"/>
      <c r="RD1" s="20"/>
      <c r="RE1" s="20"/>
      <c r="RF1" s="20"/>
      <c r="RG1" s="20"/>
      <c r="RH1" s="20"/>
      <c r="RI1" s="20"/>
      <c r="RJ1" s="20"/>
      <c r="RK1" s="20"/>
      <c r="RL1" s="20"/>
      <c r="RM1" s="20"/>
      <c r="RN1" s="20"/>
      <c r="RO1" s="20"/>
      <c r="RP1" s="20"/>
      <c r="RQ1" s="20"/>
      <c r="RR1" s="20"/>
      <c r="RS1" s="20"/>
      <c r="RT1" s="20"/>
      <c r="RU1" s="20"/>
      <c r="RV1" s="20"/>
      <c r="RW1" s="20"/>
      <c r="RX1" s="20"/>
      <c r="RY1" s="20"/>
      <c r="RZ1" s="20"/>
      <c r="SA1" s="20"/>
      <c r="SB1" s="20"/>
      <c r="SC1" s="20"/>
      <c r="SD1" s="20"/>
      <c r="SE1" s="20"/>
      <c r="SF1" s="20"/>
      <c r="SG1" s="20"/>
      <c r="SH1" s="20"/>
      <c r="SI1" s="20"/>
      <c r="SJ1" s="20"/>
      <c r="SK1" s="20"/>
      <c r="SL1" s="20"/>
      <c r="SM1" s="20"/>
      <c r="SN1" s="20"/>
      <c r="SO1" s="20"/>
      <c r="SP1" s="20"/>
      <c r="SQ1" s="20"/>
      <c r="SR1" s="20"/>
      <c r="SS1" s="20"/>
      <c r="ST1" s="20"/>
      <c r="SU1" s="20"/>
      <c r="SV1" s="20"/>
      <c r="SW1" s="20"/>
      <c r="SX1" s="20"/>
      <c r="SY1" s="20"/>
      <c r="SZ1" s="20"/>
      <c r="TA1" s="20"/>
      <c r="TB1" s="20"/>
      <c r="TC1" s="20"/>
      <c r="TD1" s="20"/>
      <c r="TE1" s="20"/>
      <c r="TF1" s="20"/>
      <c r="TG1" s="20"/>
      <c r="TH1" s="20"/>
      <c r="TI1" s="20"/>
      <c r="TJ1" s="20"/>
      <c r="TK1" s="20"/>
      <c r="TL1" s="20"/>
      <c r="TM1" s="20"/>
      <c r="TN1" s="20"/>
      <c r="TO1" s="20"/>
      <c r="TP1" s="20"/>
      <c r="TQ1" s="20"/>
      <c r="TR1" s="20"/>
      <c r="TS1" s="20"/>
      <c r="TT1" s="20"/>
      <c r="TU1" s="20"/>
      <c r="TV1" s="20"/>
      <c r="TW1" s="20"/>
      <c r="TX1" s="20"/>
      <c r="TY1" s="20"/>
      <c r="TZ1" s="20"/>
      <c r="UA1" s="20"/>
      <c r="UB1" s="20"/>
      <c r="UC1" s="20"/>
      <c r="UD1" s="20"/>
      <c r="UE1" s="20"/>
      <c r="UF1" s="20"/>
      <c r="UG1" s="20"/>
      <c r="UH1" s="20"/>
      <c r="UI1" s="20"/>
      <c r="UJ1" s="20"/>
      <c r="UK1" s="20"/>
      <c r="UL1" s="20"/>
      <c r="UM1" s="20"/>
      <c r="UN1" s="20"/>
      <c r="UO1" s="20"/>
      <c r="UP1" s="20"/>
      <c r="UQ1" s="20"/>
      <c r="UR1" s="20"/>
      <c r="US1" s="20"/>
      <c r="UT1" s="20"/>
      <c r="UU1" s="20"/>
      <c r="UV1" s="20"/>
      <c r="UW1" s="20"/>
      <c r="UX1" s="20"/>
      <c r="UY1" s="20"/>
      <c r="UZ1" s="20"/>
      <c r="VA1" s="20"/>
      <c r="VB1" s="20"/>
      <c r="VC1" s="20"/>
      <c r="VD1" s="20"/>
      <c r="VE1" s="20"/>
      <c r="VF1" s="20"/>
      <c r="VG1" s="20"/>
      <c r="VH1" s="20"/>
      <c r="VI1" s="20"/>
      <c r="VJ1" s="20"/>
      <c r="VK1" s="20"/>
      <c r="VL1" s="20"/>
      <c r="VM1" s="20"/>
      <c r="VN1" s="20"/>
      <c r="VO1" s="20"/>
      <c r="VP1" s="20"/>
      <c r="VQ1" s="20"/>
      <c r="VR1" s="20"/>
      <c r="VS1" s="20"/>
      <c r="VT1" s="20"/>
      <c r="VU1" s="20"/>
      <c r="VV1" s="20"/>
      <c r="VW1" s="20"/>
      <c r="VX1" s="20"/>
      <c r="VY1" s="20"/>
      <c r="VZ1" s="20"/>
      <c r="WA1" s="20"/>
      <c r="WB1" s="20"/>
      <c r="WC1" s="20"/>
      <c r="WD1" s="20"/>
      <c r="WE1" s="20"/>
      <c r="WF1" s="20"/>
      <c r="WG1" s="20"/>
      <c r="WH1" s="20"/>
      <c r="WI1" s="20"/>
      <c r="WJ1" s="20"/>
      <c r="WK1" s="20"/>
      <c r="WL1" s="20"/>
      <c r="WM1" s="20"/>
      <c r="WN1" s="20"/>
      <c r="WO1" s="20"/>
      <c r="WP1" s="20"/>
      <c r="WQ1" s="20"/>
      <c r="WR1" s="20"/>
      <c r="WS1" s="20"/>
      <c r="WT1" s="20"/>
      <c r="WU1" s="20"/>
      <c r="WV1" s="20"/>
      <c r="WW1" s="20"/>
      <c r="WX1" s="20"/>
      <c r="WY1" s="20"/>
      <c r="WZ1" s="20"/>
      <c r="XA1" s="20"/>
      <c r="XB1" s="20"/>
      <c r="XC1" s="20"/>
      <c r="XD1" s="20"/>
      <c r="XE1" s="20"/>
      <c r="XF1" s="20"/>
      <c r="XG1" s="20"/>
      <c r="XH1" s="20"/>
      <c r="XI1" s="20"/>
      <c r="XJ1" s="20"/>
      <c r="XK1" s="20"/>
      <c r="XL1" s="20"/>
      <c r="XM1" s="20"/>
      <c r="XN1" s="20"/>
      <c r="XO1" s="20"/>
      <c r="XP1" s="20"/>
      <c r="XQ1" s="20"/>
      <c r="XR1" s="20"/>
      <c r="XS1" s="20"/>
      <c r="XT1" s="20"/>
      <c r="XU1" s="20"/>
      <c r="XV1" s="20"/>
      <c r="XW1" s="20"/>
      <c r="XX1" s="20"/>
      <c r="XY1" s="20"/>
      <c r="XZ1" s="20"/>
      <c r="YA1" s="20"/>
      <c r="YB1" s="20"/>
      <c r="YC1" s="20"/>
      <c r="YD1" s="20"/>
      <c r="YE1" s="20"/>
      <c r="YF1" s="20"/>
      <c r="YG1" s="20"/>
      <c r="YH1" s="20"/>
      <c r="YI1" s="20"/>
      <c r="YJ1" s="20"/>
      <c r="YK1" s="20"/>
      <c r="YL1" s="20"/>
      <c r="YM1" s="20"/>
      <c r="YN1" s="20"/>
      <c r="YO1" s="20"/>
      <c r="YP1" s="20"/>
      <c r="YQ1" s="20"/>
      <c r="YR1" s="20"/>
      <c r="YS1" s="20"/>
      <c r="YT1" s="20"/>
      <c r="YU1" s="20"/>
      <c r="YV1" s="20"/>
      <c r="YW1" s="20"/>
      <c r="YX1" s="20"/>
      <c r="YY1" s="20"/>
      <c r="YZ1" s="20"/>
      <c r="ZA1" s="20"/>
      <c r="ZB1" s="20"/>
      <c r="ZC1" s="20"/>
      <c r="ZD1" s="20"/>
      <c r="ZE1" s="20"/>
      <c r="ZF1" s="20"/>
      <c r="ZG1" s="20"/>
      <c r="ZH1" s="20"/>
      <c r="ZI1" s="20"/>
      <c r="ZJ1" s="20"/>
      <c r="ZK1" s="20"/>
      <c r="ZL1" s="20"/>
      <c r="ZM1" s="20"/>
      <c r="ZN1" s="20"/>
      <c r="ZO1" s="20"/>
      <c r="ZP1" s="20"/>
      <c r="ZQ1" s="20"/>
      <c r="ZR1" s="20"/>
      <c r="ZS1" s="20"/>
      <c r="ZT1" s="20"/>
      <c r="ZU1" s="20"/>
      <c r="ZV1" s="20"/>
      <c r="ZW1" s="20"/>
      <c r="ZX1" s="20"/>
      <c r="ZY1" s="20"/>
      <c r="ZZ1" s="20"/>
      <c r="AAA1" s="20"/>
      <c r="AAB1" s="20"/>
      <c r="AAC1" s="20"/>
      <c r="AAD1" s="20"/>
      <c r="AAE1" s="20"/>
      <c r="AAF1" s="20"/>
      <c r="AAG1" s="20"/>
      <c r="AAH1" s="20"/>
      <c r="AAI1" s="20"/>
      <c r="AAJ1" s="20"/>
      <c r="AAK1" s="20"/>
      <c r="AAL1" s="20"/>
      <c r="AAM1" s="20"/>
      <c r="AAN1" s="20"/>
      <c r="AAO1" s="20"/>
      <c r="AAP1" s="20"/>
      <c r="AAQ1" s="20"/>
      <c r="AAR1" s="20"/>
      <c r="AAS1" s="20"/>
      <c r="AAT1" s="20"/>
      <c r="AAU1" s="20"/>
      <c r="AAV1" s="20"/>
      <c r="AAW1" s="20"/>
      <c r="AAX1" s="20"/>
      <c r="AAY1" s="20"/>
      <c r="AAZ1" s="20"/>
      <c r="ABA1" s="20"/>
      <c r="ABB1" s="20"/>
      <c r="ABC1" s="20"/>
      <c r="ABD1" s="20"/>
      <c r="ABE1" s="20"/>
      <c r="ABF1" s="20"/>
      <c r="ABG1" s="20"/>
      <c r="ABH1" s="20"/>
      <c r="ABI1" s="20"/>
      <c r="ABJ1" s="20"/>
      <c r="ABK1" s="20"/>
      <c r="ABL1" s="20"/>
      <c r="ABM1" s="20"/>
      <c r="ABN1" s="20"/>
      <c r="ABO1" s="20"/>
      <c r="ABP1" s="20"/>
      <c r="ABQ1" s="20"/>
      <c r="ABR1" s="20"/>
      <c r="ABS1" s="20"/>
      <c r="ABT1" s="20"/>
      <c r="ABU1" s="20"/>
      <c r="ABV1" s="20"/>
      <c r="ABW1" s="20"/>
      <c r="ABX1" s="20"/>
      <c r="ABY1" s="20"/>
      <c r="ABZ1" s="20"/>
      <c r="ACA1" s="20"/>
      <c r="ACB1" s="20"/>
      <c r="ACC1" s="20"/>
      <c r="ACD1" s="20"/>
      <c r="ACE1" s="20"/>
      <c r="ACF1" s="20"/>
      <c r="ACG1" s="20"/>
      <c r="ACH1" s="20"/>
      <c r="ACI1" s="20"/>
      <c r="ACJ1" s="20"/>
      <c r="ACK1" s="20"/>
      <c r="ACL1" s="20"/>
      <c r="ACM1" s="20"/>
      <c r="ACN1" s="20"/>
      <c r="ACO1" s="20"/>
      <c r="ACP1" s="20"/>
      <c r="ACQ1" s="20"/>
      <c r="ACR1" s="20"/>
      <c r="ACS1" s="20"/>
      <c r="ACT1" s="20"/>
      <c r="ACU1" s="20"/>
      <c r="ACV1" s="20"/>
      <c r="ACW1" s="20"/>
      <c r="ACX1" s="20"/>
      <c r="ACY1" s="20"/>
      <c r="ACZ1" s="20"/>
      <c r="ADA1" s="20"/>
      <c r="ADB1" s="20"/>
      <c r="ADC1" s="20"/>
      <c r="ADD1" s="20"/>
      <c r="ADE1" s="20"/>
      <c r="ADF1" s="20"/>
      <c r="ADG1" s="20"/>
      <c r="ADH1" s="20"/>
      <c r="ADI1" s="20"/>
      <c r="ADJ1" s="20"/>
      <c r="ADK1" s="20"/>
      <c r="ADL1" s="20"/>
      <c r="ADM1" s="20"/>
      <c r="ADN1" s="20"/>
      <c r="ADO1" s="20"/>
      <c r="ADP1" s="20"/>
      <c r="ADQ1" s="20"/>
      <c r="ADR1" s="20"/>
      <c r="ADS1" s="20"/>
      <c r="ADT1" s="20"/>
      <c r="ADU1" s="20"/>
      <c r="ADV1" s="20"/>
      <c r="ADW1" s="20"/>
      <c r="ADX1" s="20"/>
      <c r="ADY1" s="20"/>
      <c r="ADZ1" s="20"/>
      <c r="AEA1" s="20"/>
      <c r="AEB1" s="20"/>
      <c r="AEC1" s="20"/>
      <c r="AED1" s="20"/>
      <c r="AEE1" s="20"/>
      <c r="AEF1" s="20"/>
      <c r="AEG1" s="20"/>
      <c r="AEH1" s="20"/>
      <c r="AEI1" s="20"/>
      <c r="AEJ1" s="20"/>
      <c r="AEK1" s="20"/>
      <c r="AEL1" s="20"/>
      <c r="AEM1" s="20"/>
      <c r="AEN1" s="20"/>
      <c r="AEO1" s="20"/>
      <c r="AEP1" s="20"/>
      <c r="AEQ1" s="20"/>
      <c r="AER1" s="20"/>
      <c r="AES1" s="20"/>
      <c r="AET1" s="20"/>
      <c r="AEU1" s="20"/>
      <c r="AEV1" s="20"/>
      <c r="AEW1" s="20"/>
      <c r="AEX1" s="20"/>
      <c r="AEY1" s="20"/>
      <c r="AEZ1" s="20"/>
      <c r="AFA1" s="20"/>
      <c r="AFB1" s="20"/>
      <c r="AFC1" s="20"/>
      <c r="AFD1" s="20"/>
      <c r="AFE1" s="20"/>
      <c r="AFF1" s="20"/>
      <c r="AFG1" s="20"/>
      <c r="AFH1" s="20"/>
      <c r="AFI1" s="20"/>
      <c r="AFJ1" s="20"/>
      <c r="AFK1" s="20"/>
      <c r="AFL1" s="20"/>
      <c r="AFM1" s="20"/>
      <c r="AFN1" s="20"/>
      <c r="AFO1" s="20"/>
      <c r="AFP1" s="20"/>
      <c r="AFQ1" s="20"/>
      <c r="AFR1" s="20"/>
      <c r="AFS1" s="20"/>
      <c r="AFT1" s="20"/>
      <c r="AFU1" s="20"/>
      <c r="AFV1" s="20"/>
      <c r="AFW1" s="20"/>
      <c r="AFX1" s="20"/>
      <c r="AFY1" s="20"/>
      <c r="AFZ1" s="20"/>
      <c r="AGA1" s="20"/>
      <c r="AGB1" s="20"/>
      <c r="AGC1" s="20"/>
      <c r="AGD1" s="20"/>
      <c r="AGE1" s="20"/>
      <c r="AGF1" s="20"/>
      <c r="AGG1" s="20"/>
      <c r="AGH1" s="20"/>
      <c r="AGI1" s="20"/>
      <c r="AGJ1" s="20"/>
      <c r="AGK1" s="20"/>
      <c r="AGL1" s="20"/>
      <c r="AGM1" s="20"/>
      <c r="AGN1" s="20"/>
      <c r="AGO1" s="20"/>
      <c r="AGP1" s="20"/>
      <c r="AGQ1" s="20"/>
      <c r="AGR1" s="20"/>
      <c r="AGS1" s="20"/>
      <c r="AGT1" s="20"/>
      <c r="AGU1" s="20"/>
      <c r="AGV1" s="20"/>
      <c r="AGW1" s="20"/>
      <c r="AGX1" s="20"/>
      <c r="AGY1" s="20"/>
      <c r="AGZ1" s="20"/>
      <c r="AHA1" s="20"/>
      <c r="AHB1" s="20"/>
      <c r="AHC1" s="20"/>
      <c r="AHD1" s="20"/>
      <c r="AHE1" s="20"/>
      <c r="AHF1" s="20"/>
      <c r="AHG1" s="20"/>
      <c r="AHH1" s="20"/>
      <c r="AHI1" s="20"/>
      <c r="AHJ1" s="20"/>
      <c r="AHK1" s="20"/>
      <c r="AHL1" s="20"/>
      <c r="AHM1" s="20"/>
      <c r="AHN1" s="20"/>
      <c r="AHO1" s="20"/>
      <c r="AHP1" s="20"/>
      <c r="AHQ1" s="20"/>
      <c r="AHR1" s="20"/>
      <c r="AHS1" s="20"/>
      <c r="AHT1" s="20"/>
      <c r="AHU1" s="20"/>
      <c r="AHV1" s="20"/>
      <c r="AHW1" s="20"/>
      <c r="AHX1" s="20"/>
      <c r="AHY1" s="20"/>
      <c r="AHZ1" s="20"/>
      <c r="AIA1" s="20"/>
      <c r="AIB1" s="20"/>
      <c r="AIC1" s="20"/>
      <c r="AID1" s="20"/>
      <c r="AIE1" s="20"/>
      <c r="AIF1" s="20"/>
      <c r="AIG1" s="20"/>
      <c r="AIH1" s="20"/>
      <c r="AII1" s="20"/>
      <c r="AIJ1" s="20"/>
      <c r="AIK1" s="20"/>
      <c r="AIL1" s="20"/>
      <c r="AIM1" s="20"/>
      <c r="AIN1" s="20"/>
      <c r="AIO1" s="20"/>
      <c r="AIP1" s="20"/>
      <c r="AIQ1" s="20"/>
      <c r="AIR1" s="20"/>
      <c r="AIS1" s="20"/>
      <c r="AIT1" s="20"/>
      <c r="AIU1" s="20"/>
      <c r="AIV1" s="20"/>
      <c r="AIW1" s="20"/>
      <c r="AIX1" s="20"/>
      <c r="AIY1" s="20"/>
      <c r="AIZ1" s="20"/>
      <c r="AJA1" s="20"/>
      <c r="AJB1" s="20"/>
      <c r="AJC1" s="20"/>
      <c r="AJD1" s="20"/>
      <c r="AJE1" s="20"/>
      <c r="AJF1" s="20"/>
      <c r="AJG1" s="20"/>
      <c r="AJH1" s="20"/>
      <c r="AJI1" s="20"/>
      <c r="AJJ1" s="20"/>
      <c r="AJK1" s="20"/>
      <c r="AJL1" s="20"/>
      <c r="AJM1" s="20"/>
      <c r="AJN1" s="20"/>
      <c r="AJO1" s="20"/>
    </row>
    <row r="2" spans="1:951" ht="23.4" x14ac:dyDescent="0.45">
      <c r="B2" s="33"/>
      <c r="C2" s="34" t="s">
        <v>138</v>
      </c>
      <c r="D2" s="35"/>
      <c r="E2" s="33"/>
      <c r="F2" s="33"/>
      <c r="G2" s="33"/>
      <c r="H2" s="33"/>
      <c r="I2" s="36"/>
      <c r="K2" s="33"/>
      <c r="L2" s="33"/>
      <c r="M2" s="34" t="s">
        <v>145</v>
      </c>
      <c r="N2" s="33"/>
      <c r="O2" s="33"/>
      <c r="P2" s="33"/>
      <c r="Q2" s="33"/>
      <c r="R2" s="33"/>
      <c r="S2" s="33"/>
    </row>
    <row r="3" spans="1:951" ht="18" x14ac:dyDescent="0.35">
      <c r="B3" s="37" t="s">
        <v>139</v>
      </c>
      <c r="C3" s="37"/>
      <c r="D3" s="37"/>
      <c r="E3" s="37"/>
      <c r="F3" s="37"/>
      <c r="G3" s="37"/>
      <c r="H3" s="33"/>
      <c r="I3" s="33"/>
      <c r="K3" s="37" t="s">
        <v>146</v>
      </c>
      <c r="L3" s="37"/>
      <c r="M3" s="37"/>
      <c r="N3" s="38">
        <v>500</v>
      </c>
      <c r="O3" s="37"/>
      <c r="P3" s="37"/>
      <c r="Q3" s="37"/>
      <c r="R3" s="37"/>
      <c r="S3" s="33"/>
    </row>
    <row r="4" spans="1:951" ht="18" x14ac:dyDescent="0.35">
      <c r="B4" s="37" t="s">
        <v>140</v>
      </c>
      <c r="C4" s="37"/>
      <c r="D4" s="37"/>
      <c r="E4" s="37"/>
      <c r="F4" s="37"/>
      <c r="G4" s="37"/>
      <c r="H4" s="33"/>
      <c r="I4" s="33"/>
      <c r="J4" s="14"/>
      <c r="K4" s="37" t="s">
        <v>147</v>
      </c>
      <c r="L4" s="37"/>
      <c r="M4" s="37"/>
      <c r="N4" s="38">
        <v>5</v>
      </c>
      <c r="O4" s="37"/>
      <c r="P4" s="37"/>
      <c r="Q4" s="37"/>
      <c r="R4" s="37"/>
      <c r="S4" s="33"/>
    </row>
    <row r="5" spans="1:951" ht="18" x14ac:dyDescent="0.35">
      <c r="B5" s="37" t="s">
        <v>141</v>
      </c>
      <c r="C5" s="37"/>
      <c r="D5" s="37"/>
      <c r="E5" s="37"/>
      <c r="F5" s="37"/>
      <c r="G5" s="37"/>
      <c r="H5" s="33"/>
      <c r="I5" s="33"/>
      <c r="J5" s="14"/>
      <c r="K5" s="37" t="s">
        <v>148</v>
      </c>
      <c r="L5" s="37"/>
      <c r="M5" s="37"/>
      <c r="N5" s="37" t="s">
        <v>149</v>
      </c>
      <c r="O5" s="37"/>
      <c r="P5" s="37"/>
      <c r="Q5" s="37"/>
      <c r="R5" s="37"/>
      <c r="S5" s="33"/>
    </row>
    <row r="6" spans="1:951" ht="18" x14ac:dyDescent="0.35">
      <c r="J6" s="14"/>
      <c r="K6" s="37" t="s">
        <v>150</v>
      </c>
      <c r="L6" s="37"/>
      <c r="M6" s="37"/>
      <c r="N6" s="37" t="s">
        <v>151</v>
      </c>
      <c r="O6" s="37"/>
      <c r="P6" s="37"/>
      <c r="Q6" s="37"/>
      <c r="R6" s="37"/>
      <c r="S6" s="33"/>
    </row>
    <row r="7" spans="1:951" ht="23.4" x14ac:dyDescent="0.45">
      <c r="B7" s="33"/>
      <c r="C7" s="34" t="s">
        <v>142</v>
      </c>
      <c r="D7" s="33"/>
      <c r="E7" s="33"/>
      <c r="F7" s="33"/>
      <c r="G7" s="33"/>
      <c r="H7" s="33"/>
      <c r="I7" s="33"/>
      <c r="J7" s="14"/>
    </row>
    <row r="8" spans="1:951" ht="23.4" x14ac:dyDescent="0.45">
      <c r="B8" s="33" t="s">
        <v>143</v>
      </c>
      <c r="C8" s="33"/>
      <c r="D8" s="33"/>
      <c r="E8" s="33"/>
      <c r="F8" s="33"/>
      <c r="G8" s="33"/>
      <c r="H8" s="33"/>
      <c r="I8" s="33"/>
      <c r="K8" s="35"/>
      <c r="L8" s="46" t="s">
        <v>152</v>
      </c>
      <c r="M8" s="47"/>
      <c r="N8" s="47"/>
      <c r="O8" s="47"/>
      <c r="P8" s="47"/>
      <c r="Q8" s="33"/>
    </row>
    <row r="9" spans="1:951" ht="18" x14ac:dyDescent="0.35">
      <c r="B9" s="33" t="s">
        <v>144</v>
      </c>
      <c r="C9" s="33"/>
      <c r="D9" s="33"/>
      <c r="E9" s="33"/>
      <c r="F9" s="33"/>
      <c r="G9" s="33"/>
      <c r="H9" s="33"/>
      <c r="I9" s="33"/>
      <c r="K9" s="40"/>
      <c r="L9" s="41" t="s">
        <v>153</v>
      </c>
      <c r="M9" s="41"/>
      <c r="N9" s="41" t="s">
        <v>154</v>
      </c>
      <c r="O9" s="41"/>
      <c r="P9" s="43" t="s">
        <v>155</v>
      </c>
      <c r="Q9" s="42"/>
    </row>
    <row r="10" spans="1:951" ht="18" x14ac:dyDescent="0.35">
      <c r="K10" s="37"/>
      <c r="L10" s="38" t="s">
        <v>8</v>
      </c>
      <c r="M10" s="37"/>
      <c r="N10" s="37">
        <v>102</v>
      </c>
      <c r="O10" s="37"/>
      <c r="P10" s="44">
        <v>0.20399999999999999</v>
      </c>
      <c r="Q10" s="33"/>
    </row>
    <row r="11" spans="1:951" ht="23.4" x14ac:dyDescent="0.45">
      <c r="B11" s="33"/>
      <c r="C11" s="39" t="s">
        <v>157</v>
      </c>
      <c r="D11" s="33"/>
      <c r="E11" s="33"/>
      <c r="F11" s="33"/>
      <c r="G11" s="33"/>
      <c r="K11" s="37"/>
      <c r="L11" s="38" t="s">
        <v>11</v>
      </c>
      <c r="M11" s="37"/>
      <c r="N11" s="37">
        <v>87</v>
      </c>
      <c r="O11" s="37"/>
      <c r="P11" s="44">
        <v>0.17399999999999999</v>
      </c>
      <c r="Q11" s="33"/>
    </row>
    <row r="12" spans="1:951" ht="18" x14ac:dyDescent="0.35">
      <c r="B12" s="55" t="s">
        <v>158</v>
      </c>
      <c r="C12" s="55"/>
      <c r="D12" s="55" t="s">
        <v>162</v>
      </c>
      <c r="E12" s="55"/>
      <c r="F12" s="55" t="s">
        <v>159</v>
      </c>
      <c r="G12" s="50"/>
      <c r="K12" s="37"/>
      <c r="L12" s="38" t="s">
        <v>12</v>
      </c>
      <c r="M12" s="37"/>
      <c r="N12" s="37">
        <v>110</v>
      </c>
      <c r="O12" s="37"/>
      <c r="P12" s="45">
        <v>0.22</v>
      </c>
      <c r="Q12" s="33"/>
    </row>
    <row r="13" spans="1:951" ht="18" x14ac:dyDescent="0.35">
      <c r="B13" s="54" t="s">
        <v>160</v>
      </c>
      <c r="C13" s="54"/>
      <c r="D13" s="54">
        <v>257</v>
      </c>
      <c r="E13" s="54"/>
      <c r="F13" s="54">
        <v>171841</v>
      </c>
      <c r="G13" s="33"/>
      <c r="K13" s="37"/>
      <c r="L13" s="38" t="s">
        <v>10</v>
      </c>
      <c r="M13" s="37"/>
      <c r="N13" s="37">
        <v>95</v>
      </c>
      <c r="O13" s="37"/>
      <c r="P13" s="45">
        <v>0.19</v>
      </c>
      <c r="Q13" s="33"/>
    </row>
    <row r="14" spans="1:951" ht="18" x14ac:dyDescent="0.35">
      <c r="B14" s="54" t="s">
        <v>161</v>
      </c>
      <c r="C14" s="54"/>
      <c r="D14" s="54">
        <v>243</v>
      </c>
      <c r="E14" s="54"/>
      <c r="F14" s="54">
        <v>169358</v>
      </c>
      <c r="G14" s="33"/>
      <c r="K14" s="37"/>
      <c r="L14" s="38" t="s">
        <v>9</v>
      </c>
      <c r="M14" s="37"/>
      <c r="N14" s="37">
        <v>106</v>
      </c>
      <c r="O14" s="37"/>
      <c r="P14" s="44">
        <v>0.21199999999999999</v>
      </c>
      <c r="Q14" s="33"/>
    </row>
    <row r="15" spans="1:951" ht="18" x14ac:dyDescent="0.35">
      <c r="B15" s="14"/>
      <c r="C15" s="14"/>
      <c r="D15" s="14"/>
      <c r="E15" s="14"/>
      <c r="F15" s="14"/>
      <c r="G15" s="14"/>
      <c r="H15" s="14"/>
      <c r="K15" s="33"/>
      <c r="L15" s="40" t="s">
        <v>156</v>
      </c>
      <c r="M15" s="50"/>
      <c r="N15" s="40">
        <v>500</v>
      </c>
      <c r="O15" s="50"/>
      <c r="P15" s="51">
        <v>1</v>
      </c>
      <c r="Q15" s="33"/>
    </row>
    <row r="16" spans="1:951" ht="18" x14ac:dyDescent="0.35">
      <c r="B16" s="14"/>
      <c r="C16" s="14"/>
      <c r="D16" s="14"/>
      <c r="E16" s="14"/>
      <c r="F16" s="14"/>
      <c r="G16" s="14"/>
      <c r="H16" s="14"/>
    </row>
    <row r="17" spans="2:8" ht="18" x14ac:dyDescent="0.35">
      <c r="B17" s="14"/>
      <c r="C17" s="14"/>
      <c r="D17" s="14"/>
      <c r="E17" s="14"/>
      <c r="F17" s="14"/>
      <c r="G17" s="14"/>
      <c r="H17" s="14"/>
    </row>
    <row r="18" spans="2:8" ht="18" x14ac:dyDescent="0.35">
      <c r="B18" s="14"/>
      <c r="C18" s="14"/>
      <c r="D18" s="14"/>
      <c r="E18" s="14"/>
      <c r="F18" s="14"/>
      <c r="G18" s="14"/>
      <c r="H18" s="14"/>
    </row>
    <row r="19" spans="2:8" ht="18" x14ac:dyDescent="0.35">
      <c r="B19" s="14"/>
      <c r="C19" s="14"/>
      <c r="D19" s="14"/>
      <c r="E19" s="14"/>
      <c r="F19" s="14"/>
      <c r="G19" s="14"/>
      <c r="H19" s="14"/>
    </row>
    <row r="20" spans="2:8" ht="18" x14ac:dyDescent="0.35">
      <c r="B20" s="14"/>
      <c r="C20" s="14"/>
      <c r="D20" s="14"/>
      <c r="E20" s="14"/>
      <c r="F20" s="14"/>
      <c r="G20" s="14"/>
      <c r="H20" s="1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2D80F-86C3-4983-BDFC-6B55FFC6640A}">
  <dimension ref="A3:B9"/>
  <sheetViews>
    <sheetView workbookViewId="0">
      <selection activeCell="I28" sqref="I28"/>
    </sheetView>
  </sheetViews>
  <sheetFormatPr defaultRowHeight="14.4" x14ac:dyDescent="0.3"/>
  <cols>
    <col min="1" max="1" width="12.44140625" bestFit="1" customWidth="1"/>
    <col min="2" max="2" width="15.109375" bestFit="1" customWidth="1"/>
  </cols>
  <sheetData>
    <row r="3" spans="1:2" x14ac:dyDescent="0.3">
      <c r="A3" s="2" t="s">
        <v>13</v>
      </c>
      <c r="B3" t="s">
        <v>15</v>
      </c>
    </row>
    <row r="4" spans="1:2" x14ac:dyDescent="0.3">
      <c r="A4" s="3" t="s">
        <v>8</v>
      </c>
      <c r="B4" s="4">
        <v>167374.46078431373</v>
      </c>
    </row>
    <row r="5" spans="1:2" x14ac:dyDescent="0.3">
      <c r="A5" s="3" t="s">
        <v>11</v>
      </c>
      <c r="B5" s="4">
        <v>172150.57471264369</v>
      </c>
    </row>
    <row r="6" spans="1:2" x14ac:dyDescent="0.3">
      <c r="A6" s="3" t="s">
        <v>12</v>
      </c>
      <c r="B6" s="4">
        <v>172650.85454545455</v>
      </c>
    </row>
    <row r="7" spans="1:2" x14ac:dyDescent="0.3">
      <c r="A7" s="3" t="s">
        <v>10</v>
      </c>
      <c r="B7" s="4">
        <v>177127.2</v>
      </c>
    </row>
    <row r="8" spans="1:2" x14ac:dyDescent="0.3">
      <c r="A8" s="3" t="s">
        <v>9</v>
      </c>
      <c r="B8" s="4">
        <v>164615.21698113208</v>
      </c>
    </row>
    <row r="9" spans="1:2" x14ac:dyDescent="0.3">
      <c r="A9" s="3" t="s">
        <v>14</v>
      </c>
      <c r="B9" s="4">
        <v>170634.372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DA0F8-D0DE-4B65-AE9A-B7E42B209CE9}">
  <dimension ref="A3:D10"/>
  <sheetViews>
    <sheetView workbookViewId="0">
      <selection activeCell="O7" sqref="O7"/>
    </sheetView>
  </sheetViews>
  <sheetFormatPr defaultRowHeight="14.4" x14ac:dyDescent="0.3"/>
  <cols>
    <col min="1" max="1" width="19.109375" bestFit="1" customWidth="1"/>
    <col min="2" max="2" width="15.5546875" bestFit="1" customWidth="1"/>
    <col min="3" max="3" width="5.21875" bestFit="1" customWidth="1"/>
    <col min="4" max="4" width="10.5546875" bestFit="1" customWidth="1"/>
  </cols>
  <sheetData>
    <row r="3" spans="1:4" x14ac:dyDescent="0.3">
      <c r="A3" s="2" t="s">
        <v>20</v>
      </c>
      <c r="B3" s="2" t="s">
        <v>17</v>
      </c>
    </row>
    <row r="4" spans="1:4" x14ac:dyDescent="0.3">
      <c r="A4" s="2" t="s">
        <v>13</v>
      </c>
      <c r="B4" t="s">
        <v>18</v>
      </c>
      <c r="C4" t="s">
        <v>19</v>
      </c>
      <c r="D4" t="s">
        <v>14</v>
      </c>
    </row>
    <row r="5" spans="1:4" x14ac:dyDescent="0.3">
      <c r="A5" s="3" t="s">
        <v>8</v>
      </c>
      <c r="B5">
        <v>57</v>
      </c>
      <c r="C5">
        <v>45</v>
      </c>
      <c r="D5">
        <v>102</v>
      </c>
    </row>
    <row r="6" spans="1:4" x14ac:dyDescent="0.3">
      <c r="A6" s="3" t="s">
        <v>11</v>
      </c>
      <c r="B6">
        <v>41</v>
      </c>
      <c r="C6">
        <v>46</v>
      </c>
      <c r="D6">
        <v>87</v>
      </c>
    </row>
    <row r="7" spans="1:4" x14ac:dyDescent="0.3">
      <c r="A7" s="3" t="s">
        <v>12</v>
      </c>
      <c r="B7">
        <v>51</v>
      </c>
      <c r="C7">
        <v>59</v>
      </c>
      <c r="D7">
        <v>110</v>
      </c>
    </row>
    <row r="8" spans="1:4" x14ac:dyDescent="0.3">
      <c r="A8" s="3" t="s">
        <v>10</v>
      </c>
      <c r="B8">
        <v>48</v>
      </c>
      <c r="C8">
        <v>47</v>
      </c>
      <c r="D8">
        <v>95</v>
      </c>
    </row>
    <row r="9" spans="1:4" x14ac:dyDescent="0.3">
      <c r="A9" s="3" t="s">
        <v>9</v>
      </c>
      <c r="B9">
        <v>46</v>
      </c>
      <c r="C9">
        <v>60</v>
      </c>
      <c r="D9">
        <v>106</v>
      </c>
    </row>
    <row r="10" spans="1:4" x14ac:dyDescent="0.3">
      <c r="A10" s="3" t="s">
        <v>14</v>
      </c>
      <c r="B10">
        <v>243</v>
      </c>
      <c r="C10">
        <v>257</v>
      </c>
      <c r="D10">
        <v>500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9E3E4-A521-4947-ABD3-2267FEA032B6}">
  <dimension ref="A3:B6"/>
  <sheetViews>
    <sheetView workbookViewId="0">
      <selection activeCell="R23" sqref="R23"/>
    </sheetView>
  </sheetViews>
  <sheetFormatPr defaultRowHeight="14.4" x14ac:dyDescent="0.3"/>
  <cols>
    <col min="1" max="1" width="12.44140625" bestFit="1" customWidth="1"/>
    <col min="2" max="2" width="15.109375" bestFit="1" customWidth="1"/>
    <col min="3" max="7" width="7" bestFit="1" customWidth="1"/>
    <col min="8" max="8" width="6" bestFit="1" customWidth="1"/>
    <col min="9" max="15" width="7" bestFit="1" customWidth="1"/>
    <col min="16" max="16" width="6" bestFit="1" customWidth="1"/>
    <col min="17" max="19" width="7" bestFit="1" customWidth="1"/>
    <col min="20" max="20" width="6" bestFit="1" customWidth="1"/>
    <col min="21" max="43" width="7" bestFit="1" customWidth="1"/>
    <col min="44" max="44" width="6" bestFit="1" customWidth="1"/>
    <col min="45" max="52" width="7" bestFit="1" customWidth="1"/>
    <col min="53" max="53" width="6" bestFit="1" customWidth="1"/>
    <col min="54" max="60" width="7" bestFit="1" customWidth="1"/>
    <col min="61" max="61" width="6" bestFit="1" customWidth="1"/>
    <col min="62" max="81" width="7" bestFit="1" customWidth="1"/>
    <col min="82" max="82" width="6" bestFit="1" customWidth="1"/>
    <col min="83" max="87" width="7" bestFit="1" customWidth="1"/>
    <col min="88" max="88" width="6" bestFit="1" customWidth="1"/>
    <col min="89" max="90" width="7" bestFit="1" customWidth="1"/>
    <col min="91" max="91" width="6" bestFit="1" customWidth="1"/>
    <col min="92" max="98" width="7" bestFit="1" customWidth="1"/>
    <col min="99" max="99" width="6" bestFit="1" customWidth="1"/>
    <col min="100" max="109" width="7" bestFit="1" customWidth="1"/>
    <col min="110" max="110" width="6" bestFit="1" customWidth="1"/>
    <col min="111" max="119" width="7" bestFit="1" customWidth="1"/>
    <col min="120" max="120" width="6" bestFit="1" customWidth="1"/>
    <col min="121" max="126" width="7" bestFit="1" customWidth="1"/>
    <col min="127" max="127" width="6" bestFit="1" customWidth="1"/>
    <col min="128" max="128" width="7" bestFit="1" customWidth="1"/>
    <col min="129" max="129" width="6" bestFit="1" customWidth="1"/>
    <col min="130" max="131" width="7" bestFit="1" customWidth="1"/>
    <col min="132" max="132" width="6" bestFit="1" customWidth="1"/>
    <col min="133" max="163" width="7" bestFit="1" customWidth="1"/>
    <col min="164" max="164" width="6" bestFit="1" customWidth="1"/>
    <col min="165" max="172" width="7" bestFit="1" customWidth="1"/>
    <col min="173" max="173" width="6" bestFit="1" customWidth="1"/>
    <col min="174" max="183" width="7" bestFit="1" customWidth="1"/>
    <col min="184" max="184" width="6" bestFit="1" customWidth="1"/>
    <col min="185" max="190" width="7" bestFit="1" customWidth="1"/>
    <col min="191" max="191" width="6" bestFit="1" customWidth="1"/>
    <col min="192" max="199" width="7" bestFit="1" customWidth="1"/>
    <col min="200" max="200" width="6" bestFit="1" customWidth="1"/>
    <col min="201" max="201" width="7" bestFit="1" customWidth="1"/>
    <col min="202" max="202" width="6" bestFit="1" customWidth="1"/>
    <col min="203" max="207" width="7" bestFit="1" customWidth="1"/>
    <col min="208" max="208" width="6" bestFit="1" customWidth="1"/>
    <col min="209" max="212" width="7" bestFit="1" customWidth="1"/>
    <col min="213" max="213" width="6" bestFit="1" customWidth="1"/>
    <col min="214" max="234" width="7" bestFit="1" customWidth="1"/>
    <col min="235" max="235" width="6" bestFit="1" customWidth="1"/>
    <col min="236" max="242" width="7" bestFit="1" customWidth="1"/>
    <col min="243" max="243" width="6" bestFit="1" customWidth="1"/>
    <col min="244" max="247" width="7" bestFit="1" customWidth="1"/>
    <col min="248" max="248" width="6" bestFit="1" customWidth="1"/>
    <col min="249" max="260" width="7" bestFit="1" customWidth="1"/>
    <col min="261" max="261" width="6" bestFit="1" customWidth="1"/>
    <col min="262" max="278" width="7" bestFit="1" customWidth="1"/>
    <col min="279" max="279" width="6" bestFit="1" customWidth="1"/>
    <col min="280" max="280" width="7" bestFit="1" customWidth="1"/>
    <col min="281" max="281" width="6" bestFit="1" customWidth="1"/>
    <col min="282" max="284" width="7" bestFit="1" customWidth="1"/>
    <col min="285" max="285" width="6" bestFit="1" customWidth="1"/>
    <col min="286" max="311" width="7" bestFit="1" customWidth="1"/>
    <col min="312" max="312" width="6" bestFit="1" customWidth="1"/>
    <col min="313" max="320" width="7" bestFit="1" customWidth="1"/>
    <col min="321" max="321" width="6" bestFit="1" customWidth="1"/>
    <col min="322" max="323" width="7" bestFit="1" customWidth="1"/>
    <col min="324" max="324" width="6" bestFit="1" customWidth="1"/>
    <col min="325" max="338" width="7" bestFit="1" customWidth="1"/>
    <col min="339" max="339" width="6" bestFit="1" customWidth="1"/>
    <col min="340" max="343" width="7" bestFit="1" customWidth="1"/>
    <col min="344" max="344" width="6" bestFit="1" customWidth="1"/>
    <col min="345" max="363" width="7" bestFit="1" customWidth="1"/>
    <col min="364" max="364" width="6" bestFit="1" customWidth="1"/>
    <col min="365" max="373" width="7" bestFit="1" customWidth="1"/>
    <col min="374" max="374" width="6" bestFit="1" customWidth="1"/>
    <col min="375" max="401" width="7" bestFit="1" customWidth="1"/>
    <col min="402" max="402" width="6" bestFit="1" customWidth="1"/>
    <col min="403" max="436" width="7" bestFit="1" customWidth="1"/>
    <col min="437" max="437" width="6" bestFit="1" customWidth="1"/>
    <col min="438" max="443" width="7" bestFit="1" customWidth="1"/>
    <col min="444" max="444" width="6" bestFit="1" customWidth="1"/>
    <col min="445" max="447" width="7" bestFit="1" customWidth="1"/>
    <col min="448" max="448" width="6" bestFit="1" customWidth="1"/>
    <col min="449" max="453" width="7" bestFit="1" customWidth="1"/>
    <col min="454" max="454" width="6" bestFit="1" customWidth="1"/>
    <col min="455" max="456" width="7" bestFit="1" customWidth="1"/>
    <col min="457" max="457" width="6" bestFit="1" customWidth="1"/>
    <col min="458" max="469" width="7" bestFit="1" customWidth="1"/>
    <col min="470" max="470" width="6" bestFit="1" customWidth="1"/>
    <col min="471" max="486" width="7" bestFit="1" customWidth="1"/>
    <col min="487" max="487" width="6" bestFit="1" customWidth="1"/>
    <col min="488" max="488" width="7" bestFit="1" customWidth="1"/>
    <col min="489" max="489" width="10.5546875" bestFit="1" customWidth="1"/>
  </cols>
  <sheetData>
    <row r="3" spans="1:2" x14ac:dyDescent="0.3">
      <c r="A3" s="2" t="s">
        <v>13</v>
      </c>
      <c r="B3" t="s">
        <v>15</v>
      </c>
    </row>
    <row r="4" spans="1:2" x14ac:dyDescent="0.3">
      <c r="A4" s="3" t="s">
        <v>18</v>
      </c>
      <c r="B4" s="7">
        <v>169358.1851851852</v>
      </c>
    </row>
    <row r="5" spans="1:2" x14ac:dyDescent="0.3">
      <c r="A5" s="3" t="s">
        <v>19</v>
      </c>
      <c r="B5" s="7">
        <v>171841.03891050583</v>
      </c>
    </row>
    <row r="6" spans="1:2" x14ac:dyDescent="0.3">
      <c r="A6" s="3" t="s">
        <v>14</v>
      </c>
      <c r="B6">
        <v>170634.372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B1716-60C7-4C08-8672-755478847A19}">
  <dimension ref="A3:B60"/>
  <sheetViews>
    <sheetView topLeftCell="A19" workbookViewId="0">
      <selection activeCell="A3" sqref="A3"/>
    </sheetView>
  </sheetViews>
  <sheetFormatPr defaultRowHeight="14.4" x14ac:dyDescent="0.3"/>
  <cols>
    <col min="1" max="1" width="12.44140625" bestFit="1" customWidth="1"/>
    <col min="2" max="2" width="19.109375" bestFit="1" customWidth="1"/>
  </cols>
  <sheetData>
    <row r="3" spans="1:2" x14ac:dyDescent="0.3">
      <c r="A3" s="2" t="s">
        <v>13</v>
      </c>
      <c r="B3" t="s">
        <v>20</v>
      </c>
    </row>
    <row r="4" spans="1:2" x14ac:dyDescent="0.3">
      <c r="A4" s="3" t="s">
        <v>21</v>
      </c>
      <c r="B4">
        <v>8</v>
      </c>
    </row>
    <row r="5" spans="1:2" x14ac:dyDescent="0.3">
      <c r="A5" s="3" t="s">
        <v>22</v>
      </c>
      <c r="B5">
        <v>7</v>
      </c>
    </row>
    <row r="6" spans="1:2" x14ac:dyDescent="0.3">
      <c r="A6" s="3" t="s">
        <v>23</v>
      </c>
      <c r="B6">
        <v>9</v>
      </c>
    </row>
    <row r="7" spans="1:2" x14ac:dyDescent="0.3">
      <c r="A7" s="3" t="s">
        <v>24</v>
      </c>
      <c r="B7">
        <v>12</v>
      </c>
    </row>
    <row r="8" spans="1:2" x14ac:dyDescent="0.3">
      <c r="A8" s="3" t="s">
        <v>25</v>
      </c>
      <c r="B8">
        <v>12</v>
      </c>
    </row>
    <row r="9" spans="1:2" x14ac:dyDescent="0.3">
      <c r="A9" s="3" t="s">
        <v>26</v>
      </c>
      <c r="B9">
        <v>8</v>
      </c>
    </row>
    <row r="10" spans="1:2" x14ac:dyDescent="0.3">
      <c r="A10" s="3" t="s">
        <v>27</v>
      </c>
      <c r="B10">
        <v>14</v>
      </c>
    </row>
    <row r="11" spans="1:2" x14ac:dyDescent="0.3">
      <c r="A11" s="3" t="s">
        <v>28</v>
      </c>
      <c r="B11">
        <v>5</v>
      </c>
    </row>
    <row r="12" spans="1:2" x14ac:dyDescent="0.3">
      <c r="A12" s="3" t="s">
        <v>29</v>
      </c>
      <c r="B12">
        <v>8</v>
      </c>
    </row>
    <row r="13" spans="1:2" x14ac:dyDescent="0.3">
      <c r="A13" s="3" t="s">
        <v>30</v>
      </c>
      <c r="B13">
        <v>8</v>
      </c>
    </row>
    <row r="14" spans="1:2" x14ac:dyDescent="0.3">
      <c r="A14" s="3" t="s">
        <v>31</v>
      </c>
      <c r="B14">
        <v>9</v>
      </c>
    </row>
    <row r="15" spans="1:2" x14ac:dyDescent="0.3">
      <c r="A15" s="3" t="s">
        <v>32</v>
      </c>
      <c r="B15">
        <v>11</v>
      </c>
    </row>
    <row r="16" spans="1:2" x14ac:dyDescent="0.3">
      <c r="A16" s="3" t="s">
        <v>33</v>
      </c>
      <c r="B16">
        <v>7</v>
      </c>
    </row>
    <row r="17" spans="1:2" x14ac:dyDescent="0.3">
      <c r="A17" s="3" t="s">
        <v>34</v>
      </c>
      <c r="B17">
        <v>13</v>
      </c>
    </row>
    <row r="18" spans="1:2" x14ac:dyDescent="0.3">
      <c r="A18" s="3" t="s">
        <v>35</v>
      </c>
      <c r="B18">
        <v>11</v>
      </c>
    </row>
    <row r="19" spans="1:2" x14ac:dyDescent="0.3">
      <c r="A19" s="3" t="s">
        <v>36</v>
      </c>
      <c r="B19">
        <v>8</v>
      </c>
    </row>
    <row r="20" spans="1:2" x14ac:dyDescent="0.3">
      <c r="A20" s="3" t="s">
        <v>37</v>
      </c>
      <c r="B20">
        <v>5</v>
      </c>
    </row>
    <row r="21" spans="1:2" x14ac:dyDescent="0.3">
      <c r="A21" s="3" t="s">
        <v>38</v>
      </c>
      <c r="B21">
        <v>9</v>
      </c>
    </row>
    <row r="22" spans="1:2" x14ac:dyDescent="0.3">
      <c r="A22" s="3" t="s">
        <v>39</v>
      </c>
      <c r="B22">
        <v>7</v>
      </c>
    </row>
    <row r="23" spans="1:2" x14ac:dyDescent="0.3">
      <c r="A23" s="3" t="s">
        <v>40</v>
      </c>
      <c r="B23">
        <v>8</v>
      </c>
    </row>
    <row r="24" spans="1:2" x14ac:dyDescent="0.3">
      <c r="A24" s="3" t="s">
        <v>41</v>
      </c>
      <c r="B24">
        <v>6</v>
      </c>
    </row>
    <row r="25" spans="1:2" x14ac:dyDescent="0.3">
      <c r="A25" s="3" t="s">
        <v>42</v>
      </c>
      <c r="B25">
        <v>11</v>
      </c>
    </row>
    <row r="26" spans="1:2" x14ac:dyDescent="0.3">
      <c r="A26" s="3" t="s">
        <v>43</v>
      </c>
      <c r="B26">
        <v>9</v>
      </c>
    </row>
    <row r="27" spans="1:2" x14ac:dyDescent="0.3">
      <c r="A27" s="3" t="s">
        <v>44</v>
      </c>
      <c r="B27">
        <v>6</v>
      </c>
    </row>
    <row r="28" spans="1:2" x14ac:dyDescent="0.3">
      <c r="A28" s="3" t="s">
        <v>45</v>
      </c>
      <c r="B28">
        <v>10</v>
      </c>
    </row>
    <row r="29" spans="1:2" x14ac:dyDescent="0.3">
      <c r="A29" s="3" t="s">
        <v>46</v>
      </c>
      <c r="B29">
        <v>4</v>
      </c>
    </row>
    <row r="30" spans="1:2" x14ac:dyDescent="0.3">
      <c r="A30" s="3" t="s">
        <v>47</v>
      </c>
      <c r="B30">
        <v>9</v>
      </c>
    </row>
    <row r="31" spans="1:2" x14ac:dyDescent="0.3">
      <c r="A31" s="3" t="s">
        <v>48</v>
      </c>
      <c r="B31">
        <v>12</v>
      </c>
    </row>
    <row r="32" spans="1:2" x14ac:dyDescent="0.3">
      <c r="A32" s="3" t="s">
        <v>49</v>
      </c>
      <c r="B32">
        <v>10</v>
      </c>
    </row>
    <row r="33" spans="1:2" x14ac:dyDescent="0.3">
      <c r="A33" s="3" t="s">
        <v>50</v>
      </c>
      <c r="B33">
        <v>8</v>
      </c>
    </row>
    <row r="34" spans="1:2" x14ac:dyDescent="0.3">
      <c r="A34" s="3" t="s">
        <v>51</v>
      </c>
      <c r="B34">
        <v>7</v>
      </c>
    </row>
    <row r="35" spans="1:2" x14ac:dyDescent="0.3">
      <c r="A35" s="3" t="s">
        <v>52</v>
      </c>
      <c r="B35">
        <v>8</v>
      </c>
    </row>
    <row r="36" spans="1:2" x14ac:dyDescent="0.3">
      <c r="A36" s="3" t="s">
        <v>53</v>
      </c>
      <c r="B36">
        <v>9</v>
      </c>
    </row>
    <row r="37" spans="1:2" x14ac:dyDescent="0.3">
      <c r="A37" s="3" t="s">
        <v>54</v>
      </c>
      <c r="B37">
        <v>9</v>
      </c>
    </row>
    <row r="38" spans="1:2" x14ac:dyDescent="0.3">
      <c r="A38" s="3" t="s">
        <v>55</v>
      </c>
      <c r="B38">
        <v>11</v>
      </c>
    </row>
    <row r="39" spans="1:2" x14ac:dyDescent="0.3">
      <c r="A39" s="3" t="s">
        <v>56</v>
      </c>
      <c r="B39">
        <v>11</v>
      </c>
    </row>
    <row r="40" spans="1:2" x14ac:dyDescent="0.3">
      <c r="A40" s="3" t="s">
        <v>57</v>
      </c>
      <c r="B40">
        <v>14</v>
      </c>
    </row>
    <row r="41" spans="1:2" x14ac:dyDescent="0.3">
      <c r="A41" s="3" t="s">
        <v>58</v>
      </c>
      <c r="B41">
        <v>8</v>
      </c>
    </row>
    <row r="42" spans="1:2" x14ac:dyDescent="0.3">
      <c r="A42" s="3" t="s">
        <v>59</v>
      </c>
      <c r="B42">
        <v>12</v>
      </c>
    </row>
    <row r="43" spans="1:2" x14ac:dyDescent="0.3">
      <c r="A43" s="3" t="s">
        <v>60</v>
      </c>
      <c r="B43">
        <v>11</v>
      </c>
    </row>
    <row r="44" spans="1:2" x14ac:dyDescent="0.3">
      <c r="A44" s="3" t="s">
        <v>61</v>
      </c>
      <c r="B44">
        <v>9</v>
      </c>
    </row>
    <row r="45" spans="1:2" x14ac:dyDescent="0.3">
      <c r="A45" s="3" t="s">
        <v>62</v>
      </c>
      <c r="B45">
        <v>7</v>
      </c>
    </row>
    <row r="46" spans="1:2" x14ac:dyDescent="0.3">
      <c r="A46" s="3" t="s">
        <v>63</v>
      </c>
      <c r="B46">
        <v>11</v>
      </c>
    </row>
    <row r="47" spans="1:2" x14ac:dyDescent="0.3">
      <c r="A47" s="3" t="s">
        <v>64</v>
      </c>
      <c r="B47">
        <v>9</v>
      </c>
    </row>
    <row r="48" spans="1:2" x14ac:dyDescent="0.3">
      <c r="A48" s="3" t="s">
        <v>65</v>
      </c>
      <c r="B48">
        <v>10</v>
      </c>
    </row>
    <row r="49" spans="1:2" x14ac:dyDescent="0.3">
      <c r="A49" s="3" t="s">
        <v>66</v>
      </c>
      <c r="B49">
        <v>5</v>
      </c>
    </row>
    <row r="50" spans="1:2" x14ac:dyDescent="0.3">
      <c r="A50" s="3" t="s">
        <v>67</v>
      </c>
      <c r="B50">
        <v>7</v>
      </c>
    </row>
    <row r="51" spans="1:2" x14ac:dyDescent="0.3">
      <c r="A51" s="3" t="s">
        <v>68</v>
      </c>
      <c r="B51">
        <v>11</v>
      </c>
    </row>
    <row r="52" spans="1:2" x14ac:dyDescent="0.3">
      <c r="A52" s="3" t="s">
        <v>69</v>
      </c>
      <c r="B52">
        <v>15</v>
      </c>
    </row>
    <row r="53" spans="1:2" x14ac:dyDescent="0.3">
      <c r="A53" s="3" t="s">
        <v>70</v>
      </c>
      <c r="B53">
        <v>5</v>
      </c>
    </row>
    <row r="54" spans="1:2" x14ac:dyDescent="0.3">
      <c r="A54" s="3" t="s">
        <v>71</v>
      </c>
      <c r="B54">
        <v>10</v>
      </c>
    </row>
    <row r="55" spans="1:2" x14ac:dyDescent="0.3">
      <c r="A55" s="3" t="s">
        <v>72</v>
      </c>
      <c r="B55">
        <v>7</v>
      </c>
    </row>
    <row r="56" spans="1:2" x14ac:dyDescent="0.3">
      <c r="A56" s="3" t="s">
        <v>73</v>
      </c>
      <c r="B56">
        <v>12</v>
      </c>
    </row>
    <row r="57" spans="1:2" x14ac:dyDescent="0.3">
      <c r="A57" s="3" t="s">
        <v>74</v>
      </c>
      <c r="B57">
        <v>9</v>
      </c>
    </row>
    <row r="58" spans="1:2" x14ac:dyDescent="0.3">
      <c r="A58" s="3" t="s">
        <v>75</v>
      </c>
      <c r="B58">
        <v>3</v>
      </c>
    </row>
    <row r="59" spans="1:2" x14ac:dyDescent="0.3">
      <c r="A59" s="3" t="s">
        <v>76</v>
      </c>
      <c r="B59">
        <v>6</v>
      </c>
    </row>
    <row r="60" spans="1:2" x14ac:dyDescent="0.3">
      <c r="A60" s="3" t="s">
        <v>14</v>
      </c>
      <c r="B60">
        <v>500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8A504-8E1E-45C6-8EBF-945B689B9F46}">
  <dimension ref="A3:B9"/>
  <sheetViews>
    <sheetView workbookViewId="0">
      <selection activeCell="B8" sqref="B8"/>
    </sheetView>
  </sheetViews>
  <sheetFormatPr defaultRowHeight="14.4" x14ac:dyDescent="0.3"/>
  <cols>
    <col min="1" max="1" width="12.44140625" bestFit="1" customWidth="1"/>
    <col min="2" max="2" width="19.109375" bestFit="1" customWidth="1"/>
  </cols>
  <sheetData>
    <row r="3" spans="1:2" x14ac:dyDescent="0.3">
      <c r="A3" s="2" t="s">
        <v>13</v>
      </c>
      <c r="B3" t="s">
        <v>20</v>
      </c>
    </row>
    <row r="4" spans="1:2" x14ac:dyDescent="0.3">
      <c r="A4" s="3" t="s">
        <v>86</v>
      </c>
      <c r="B4">
        <v>1</v>
      </c>
    </row>
    <row r="5" spans="1:2" x14ac:dyDescent="0.3">
      <c r="A5" s="3" t="s">
        <v>88</v>
      </c>
      <c r="B5">
        <v>47</v>
      </c>
    </row>
    <row r="6" spans="1:2" x14ac:dyDescent="0.3">
      <c r="A6" s="3" t="s">
        <v>83</v>
      </c>
      <c r="B6">
        <v>130</v>
      </c>
    </row>
    <row r="7" spans="1:2" x14ac:dyDescent="0.3">
      <c r="A7" s="3" t="s">
        <v>87</v>
      </c>
      <c r="B7">
        <v>167</v>
      </c>
    </row>
    <row r="8" spans="1:2" x14ac:dyDescent="0.3">
      <c r="A8" s="3" t="s">
        <v>84</v>
      </c>
      <c r="B8">
        <v>155</v>
      </c>
    </row>
    <row r="9" spans="1:2" x14ac:dyDescent="0.3">
      <c r="A9" s="3" t="s">
        <v>14</v>
      </c>
      <c r="B9">
        <v>500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6B448-65C7-46DF-A56B-0561C39C13E3}">
  <dimension ref="A3:B8"/>
  <sheetViews>
    <sheetView workbookViewId="0">
      <selection activeCell="N5" sqref="N5"/>
    </sheetView>
  </sheetViews>
  <sheetFormatPr defaultRowHeight="14.4" x14ac:dyDescent="0.3"/>
  <cols>
    <col min="1" max="1" width="12.44140625" bestFit="1" customWidth="1"/>
    <col min="2" max="2" width="19.109375" bestFit="1" customWidth="1"/>
  </cols>
  <sheetData>
    <row r="3" spans="1:2" x14ac:dyDescent="0.3">
      <c r="A3" s="2" t="s">
        <v>13</v>
      </c>
      <c r="B3" t="s">
        <v>20</v>
      </c>
    </row>
    <row r="4" spans="1:2" x14ac:dyDescent="0.3">
      <c r="A4" s="3" t="s">
        <v>78</v>
      </c>
      <c r="B4">
        <v>77</v>
      </c>
    </row>
    <row r="5" spans="1:2" x14ac:dyDescent="0.3">
      <c r="A5" s="3" t="s">
        <v>79</v>
      </c>
      <c r="B5">
        <v>106</v>
      </c>
    </row>
    <row r="6" spans="1:2" x14ac:dyDescent="0.3">
      <c r="A6" s="3" t="s">
        <v>80</v>
      </c>
      <c r="B6">
        <v>147</v>
      </c>
    </row>
    <row r="7" spans="1:2" x14ac:dyDescent="0.3">
      <c r="A7" s="3" t="s">
        <v>81</v>
      </c>
      <c r="B7">
        <v>170</v>
      </c>
    </row>
    <row r="8" spans="1:2" x14ac:dyDescent="0.3">
      <c r="A8" s="3" t="s">
        <v>14</v>
      </c>
      <c r="B8">
        <v>500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6BE41-D7C9-4CBF-B723-D4DC6EE8EF1C}">
  <dimension ref="A3:F10"/>
  <sheetViews>
    <sheetView workbookViewId="0">
      <selection activeCell="G6" sqref="G6"/>
    </sheetView>
  </sheetViews>
  <sheetFormatPr defaultRowHeight="14.4" x14ac:dyDescent="0.3"/>
  <cols>
    <col min="1" max="1" width="19.109375" bestFit="1" customWidth="1"/>
    <col min="2" max="2" width="15.5546875" bestFit="1" customWidth="1"/>
    <col min="3" max="3" width="11.6640625" bestFit="1" customWidth="1"/>
    <col min="4" max="4" width="11.33203125" bestFit="1" customWidth="1"/>
    <col min="5" max="5" width="9.6640625" bestFit="1" customWidth="1"/>
    <col min="6" max="7" width="10.5546875" bestFit="1" customWidth="1"/>
  </cols>
  <sheetData>
    <row r="3" spans="1:6" x14ac:dyDescent="0.3">
      <c r="A3" s="2" t="s">
        <v>20</v>
      </c>
      <c r="B3" s="2" t="s">
        <v>17</v>
      </c>
    </row>
    <row r="4" spans="1:6" x14ac:dyDescent="0.3">
      <c r="A4" s="2" t="s">
        <v>13</v>
      </c>
      <c r="B4" t="s">
        <v>90</v>
      </c>
      <c r="C4" t="s">
        <v>91</v>
      </c>
      <c r="D4" t="s">
        <v>92</v>
      </c>
      <c r="E4" t="s">
        <v>89</v>
      </c>
      <c r="F4" t="s">
        <v>14</v>
      </c>
    </row>
    <row r="5" spans="1:6" x14ac:dyDescent="0.3">
      <c r="A5" s="3" t="s">
        <v>8</v>
      </c>
      <c r="B5">
        <v>14</v>
      </c>
      <c r="C5">
        <v>48</v>
      </c>
      <c r="D5">
        <v>34</v>
      </c>
      <c r="E5">
        <v>6</v>
      </c>
      <c r="F5">
        <v>102</v>
      </c>
    </row>
    <row r="6" spans="1:6" x14ac:dyDescent="0.3">
      <c r="A6" s="3" t="s">
        <v>11</v>
      </c>
      <c r="B6">
        <v>15</v>
      </c>
      <c r="C6">
        <v>32</v>
      </c>
      <c r="D6">
        <v>31</v>
      </c>
      <c r="E6">
        <v>9</v>
      </c>
      <c r="F6">
        <v>87</v>
      </c>
    </row>
    <row r="7" spans="1:6" x14ac:dyDescent="0.3">
      <c r="A7" s="3" t="s">
        <v>12</v>
      </c>
      <c r="B7">
        <v>21</v>
      </c>
      <c r="C7">
        <v>33</v>
      </c>
      <c r="D7">
        <v>40</v>
      </c>
      <c r="E7">
        <v>16</v>
      </c>
      <c r="F7">
        <v>110</v>
      </c>
    </row>
    <row r="8" spans="1:6" x14ac:dyDescent="0.3">
      <c r="A8" s="3" t="s">
        <v>10</v>
      </c>
      <c r="B8">
        <v>15</v>
      </c>
      <c r="C8">
        <v>38</v>
      </c>
      <c r="D8">
        <v>26</v>
      </c>
      <c r="E8">
        <v>16</v>
      </c>
      <c r="F8">
        <v>95</v>
      </c>
    </row>
    <row r="9" spans="1:6" x14ac:dyDescent="0.3">
      <c r="A9" s="3" t="s">
        <v>9</v>
      </c>
      <c r="B9">
        <v>22</v>
      </c>
      <c r="C9">
        <v>40</v>
      </c>
      <c r="D9">
        <v>39</v>
      </c>
      <c r="E9">
        <v>5</v>
      </c>
      <c r="F9">
        <v>106</v>
      </c>
    </row>
    <row r="10" spans="1:6" x14ac:dyDescent="0.3">
      <c r="A10" s="3" t="s">
        <v>14</v>
      </c>
      <c r="B10">
        <v>87</v>
      </c>
      <c r="C10">
        <v>191</v>
      </c>
      <c r="D10">
        <v>170</v>
      </c>
      <c r="E10">
        <v>52</v>
      </c>
      <c r="F10">
        <v>500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employee_data</vt:lpstr>
      <vt:lpstr>New data</vt:lpstr>
      <vt:lpstr>Dashboard</vt:lpstr>
      <vt:lpstr>CALCULATIONS</vt:lpstr>
      <vt:lpstr>EDA</vt:lpstr>
      <vt:lpstr>HIGHEST AVG SALARY BY DEPT</vt:lpstr>
      <vt:lpstr>MANAGER VS NON MANAGER BY DEPT</vt:lpstr>
      <vt:lpstr>AVG SALARY - MANAGER VS NON MAN</vt:lpstr>
      <vt:lpstr>YEAR VS HIRE TREND</vt:lpstr>
      <vt:lpstr>SALARY DISTRIBUTION</vt:lpstr>
      <vt:lpstr>AGE GROUP DISTRIBUTION</vt:lpstr>
      <vt:lpstr>EMPLOYEE DSTRBTION BY EXP&amp;DEPT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Nadha Shajahan</dc:creator>
  <cp:lastModifiedBy>Nadha Shajahan</cp:lastModifiedBy>
  <dcterms:created xsi:type="dcterms:W3CDTF">2026-09-13T08:23:38Z</dcterms:created>
  <dcterms:modified xsi:type="dcterms:W3CDTF">2026-09-21T14:56:57Z</dcterms:modified>
</cp:coreProperties>
</file>